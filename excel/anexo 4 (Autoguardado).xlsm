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0" windowWidth="16815" windowHeight="7755" activeTab="1"/>
  </bookViews>
  <sheets>
    <sheet name="Anexo 4.1B" sheetId="4" r:id="rId1"/>
    <sheet name="GUIAS" sheetId="5" r:id="rId2"/>
    <sheet name="SALDOS" sheetId="6" r:id="rId3"/>
    <sheet name="PRESTAMO" sheetId="7" r:id="rId4"/>
  </sheets>
  <definedNames>
    <definedName name="_xlnm._FilterDatabase" localSheetId="1" hidden="1">GUIAS!$A$3:$M$712</definedName>
  </definedNames>
  <calcPr calcId="145621"/>
  <customWorkbookViews>
    <customWorkbookView name="Exportaciones Veg - Vista personalizada" guid="{A4D20BDA-E945-417B-9766-11F57C67A2AF}" mergeInterval="0" personalView="1" maximized="1" windowWidth="1362" windowHeight="495" activeSheetId="4"/>
  </customWorkbookViews>
  <fileRecoveryPr repairLoad="1"/>
</workbook>
</file>

<file path=xl/calcChain.xml><?xml version="1.0" encoding="utf-8"?>
<calcChain xmlns="http://schemas.openxmlformats.org/spreadsheetml/2006/main">
  <c r="H59" i="5" l="1"/>
  <c r="H542" i="5" l="1"/>
  <c r="H150" i="5" l="1"/>
  <c r="H390" i="5" l="1"/>
  <c r="J204" i="5" l="1"/>
  <c r="H141" i="5" l="1"/>
  <c r="H136" i="5"/>
  <c r="H152" i="5"/>
  <c r="F21" i="4" l="1"/>
  <c r="G21" i="4"/>
  <c r="H111" i="5"/>
  <c r="H77" i="5" l="1"/>
  <c r="H79" i="5"/>
  <c r="H81" i="5"/>
  <c r="H83" i="5"/>
  <c r="H85" i="5"/>
  <c r="H87" i="5"/>
  <c r="H90" i="5"/>
  <c r="H93" i="5"/>
  <c r="H97" i="5"/>
  <c r="H101" i="5"/>
  <c r="H105" i="5"/>
  <c r="H107" i="5"/>
  <c r="H115" i="5"/>
  <c r="H119" i="5"/>
  <c r="H121" i="5"/>
  <c r="H125" i="5"/>
  <c r="H133" i="5"/>
  <c r="H139" i="5"/>
  <c r="H144" i="5"/>
  <c r="H146" i="5"/>
  <c r="H156" i="5"/>
  <c r="H161" i="5"/>
  <c r="H165" i="5"/>
  <c r="H171" i="5"/>
  <c r="H174" i="5"/>
  <c r="H75" i="5"/>
  <c r="H72" i="5"/>
  <c r="H69" i="5"/>
  <c r="H66" i="5"/>
  <c r="H63" i="5"/>
  <c r="H61" i="5"/>
  <c r="H57" i="5"/>
  <c r="H54" i="5"/>
  <c r="H51" i="5"/>
  <c r="H48" i="5"/>
  <c r="H46" i="5"/>
  <c r="H44" i="5"/>
  <c r="H42" i="5"/>
  <c r="H38" i="5"/>
  <c r="H29" i="5"/>
  <c r="J72" i="5" l="1"/>
  <c r="J111" i="5"/>
  <c r="J4" i="5"/>
  <c r="I21" i="4" l="1"/>
  <c r="H21" i="4"/>
  <c r="J14" i="4" l="1"/>
  <c r="J18" i="4"/>
  <c r="J11" i="4"/>
  <c r="J15" i="4"/>
  <c r="J19" i="4"/>
  <c r="J12" i="4"/>
  <c r="J16" i="4"/>
  <c r="J20" i="4"/>
  <c r="J13" i="4"/>
  <c r="J17" i="4"/>
  <c r="J10" i="4"/>
  <c r="J22" i="4" l="1"/>
</calcChain>
</file>

<file path=xl/comments1.xml><?xml version="1.0" encoding="utf-8"?>
<comments xmlns="http://schemas.openxmlformats.org/spreadsheetml/2006/main">
  <authors>
    <author>senasa4</author>
  </authors>
  <commentList>
    <comment ref="M35" authorId="0">
      <text>
        <r>
          <rPr>
            <b/>
            <sz val="11"/>
            <color indexed="81"/>
            <rFont val="Calibri"/>
            <family val="2"/>
            <scheme val="minor"/>
          </rPr>
          <t>ARIANNY:
SE USO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1" authorId="0">
      <text>
        <r>
          <rPr>
            <sz val="11"/>
            <color indexed="81"/>
            <rFont val="Calibri"/>
            <family val="2"/>
            <scheme val="minor"/>
          </rPr>
          <t>ARIANNY
SOBRA 720 SE UTILIZO PARA COMPLETAR GUIA 16-018397</t>
        </r>
      </text>
    </comment>
  </commentList>
</comments>
</file>

<file path=xl/sharedStrings.xml><?xml version="1.0" encoding="utf-8"?>
<sst xmlns="http://schemas.openxmlformats.org/spreadsheetml/2006/main" count="3480" uniqueCount="479">
  <si>
    <t>Fecha:</t>
  </si>
  <si>
    <t>Nombre de Inspector:</t>
  </si>
  <si>
    <t>CODIGO DE LUGAR DE PRODUCCION</t>
  </si>
  <si>
    <t>No DE GUIA DE REMISION</t>
  </si>
  <si>
    <t>Nombre Empacadora:</t>
  </si>
  <si>
    <t>Exportador:</t>
  </si>
  <si>
    <t>TOTAL ENVIO:</t>
  </si>
  <si>
    <t>TOTAL CAJAS A MUESTREAR:</t>
  </si>
  <si>
    <t>No</t>
  </si>
  <si>
    <t>No DE CAJAS A MUESTREAR PARA INSPECCION</t>
  </si>
  <si>
    <t>Nota:</t>
  </si>
  <si>
    <t>B.- Con esta informacion el Inspector tomará la muestra para inspeccion al momento del embarque o embarcará fruta inspeccionada en linea.</t>
  </si>
  <si>
    <t>A.- Las celdas coloreadas en verde, es el detalle de la conformación del envío y debe ser llenado por el exportador y entregado al Inspector.</t>
  </si>
  <si>
    <t>NOMBRE DE PRODUCTOR/EXPORTADOR RESPONSABLE DE LA GUIA DE REMISION</t>
  </si>
  <si>
    <t>CODIGO DE LOTE ASIGNADO EN TRAZABILIDAD</t>
  </si>
  <si>
    <t>(1) Colocar la cantidad de cajas que corresponde a cada lugar de producción que conforma el envío</t>
  </si>
  <si>
    <t>clave: 1 al 5 para desproteger las celdas y agregar mas filas en caso que un envio conste con mas de 10 LPs.</t>
  </si>
  <si>
    <t>C.- LA última columna en blanco, debe ser llenado en las exportaciones de higo y granada a EEUU.</t>
  </si>
  <si>
    <t>CANTIDAD TOTAL CAJAS EXPORTABLE POR LP (1)</t>
  </si>
  <si>
    <t>PESO POR JABA/BIN (KG.)</t>
  </si>
  <si>
    <t>N° DE JABAS/BINES QUE SE USARON PARA ESTE ENVÍO</t>
  </si>
  <si>
    <t>PESO TOTAL EN EL ENVIO(KG)</t>
  </si>
  <si>
    <t>FECHA</t>
  </si>
  <si>
    <t>PREDIO</t>
  </si>
  <si>
    <t>CUARTEL</t>
  </si>
  <si>
    <t>FUNDO</t>
  </si>
  <si>
    <t>VARIEDAD</t>
  </si>
  <si>
    <t>JABAS</t>
  </si>
  <si>
    <t>PESO</t>
  </si>
  <si>
    <t>TOTAL</t>
  </si>
  <si>
    <t>RG</t>
  </si>
  <si>
    <t>SV</t>
  </si>
  <si>
    <t>N° GUIA</t>
  </si>
  <si>
    <t>16-018367</t>
  </si>
  <si>
    <t>16-018368</t>
  </si>
  <si>
    <t>16-018369</t>
  </si>
  <si>
    <t>16-018370</t>
  </si>
  <si>
    <t>16-018371</t>
  </si>
  <si>
    <t>16-018372</t>
  </si>
  <si>
    <t>16-018373</t>
  </si>
  <si>
    <t>16-018374</t>
  </si>
  <si>
    <t>16-018375</t>
  </si>
  <si>
    <t>16-018376</t>
  </si>
  <si>
    <t>16-018377</t>
  </si>
  <si>
    <t>16-018378</t>
  </si>
  <si>
    <t>16-018379</t>
  </si>
  <si>
    <t>16-018380</t>
  </si>
  <si>
    <t>16-018381</t>
  </si>
  <si>
    <t>16-018382</t>
  </si>
  <si>
    <t>16-018383</t>
  </si>
  <si>
    <t>16-018384</t>
  </si>
  <si>
    <t>16-018385</t>
  </si>
  <si>
    <t>16-018386</t>
  </si>
  <si>
    <t>16-018387</t>
  </si>
  <si>
    <t>16-018388</t>
  </si>
  <si>
    <t>16-018389</t>
  </si>
  <si>
    <t>16-018390</t>
  </si>
  <si>
    <t>16-018391</t>
  </si>
  <si>
    <t>16-018392</t>
  </si>
  <si>
    <t>16-018393</t>
  </si>
  <si>
    <t>16-018394</t>
  </si>
  <si>
    <t>16-018395</t>
  </si>
  <si>
    <t>16-018396</t>
  </si>
  <si>
    <t>16-018397</t>
  </si>
  <si>
    <t>16-018398</t>
  </si>
  <si>
    <t>16-018399</t>
  </si>
  <si>
    <t>16-018400</t>
  </si>
  <si>
    <t>16-018401</t>
  </si>
  <si>
    <t>16-018402</t>
  </si>
  <si>
    <t>16-018403</t>
  </si>
  <si>
    <t>16-018404</t>
  </si>
  <si>
    <t>16-018405</t>
  </si>
  <si>
    <t>16-018406</t>
  </si>
  <si>
    <t>16-018407</t>
  </si>
  <si>
    <t>16-018408</t>
  </si>
  <si>
    <t>16-018409</t>
  </si>
  <si>
    <t>16-018410</t>
  </si>
  <si>
    <t>N°DE EMBARQUE</t>
  </si>
  <si>
    <t>M-00001</t>
  </si>
  <si>
    <t>PAIS</t>
  </si>
  <si>
    <t>COLOMBIA</t>
  </si>
  <si>
    <t>002.08004.13</t>
  </si>
  <si>
    <t xml:space="preserve">SOCIEDAD AGRICOLA RAPEL SAC </t>
  </si>
  <si>
    <t>16-018411</t>
  </si>
  <si>
    <t>16-018412</t>
  </si>
  <si>
    <t>16-018413</t>
  </si>
  <si>
    <t>16-018414</t>
  </si>
  <si>
    <t>16-018415</t>
  </si>
  <si>
    <t>16-018416</t>
  </si>
  <si>
    <t>16-018417</t>
  </si>
  <si>
    <t>16-018418</t>
  </si>
  <si>
    <t>16-018419</t>
  </si>
  <si>
    <t>16-018420</t>
  </si>
  <si>
    <t>16-018421</t>
  </si>
  <si>
    <t>16-018422</t>
  </si>
  <si>
    <t>16-018423</t>
  </si>
  <si>
    <r>
      <rPr>
        <b/>
        <sz val="12"/>
        <color theme="1"/>
        <rFont val="Calibri"/>
        <family val="2"/>
        <scheme val="minor"/>
      </rPr>
      <t xml:space="preserve">ANEXO 4.1B:  CONFORMACION DEL ENVIO Y TAMAÑO DE MUESTRA PARA INSPECCION FITOSANITARIA RAPIDA AL MOMENTO DEL EMBARQUE.    </t>
    </r>
    <r>
      <rPr>
        <b/>
        <sz val="9"/>
        <color theme="1"/>
        <rFont val="Calibri"/>
        <family val="2"/>
        <scheme val="minor"/>
      </rPr>
      <t xml:space="preserve">                                                                                       </t>
    </r>
  </si>
  <si>
    <t xml:space="preserve">  BASE DE DATOS DE GUIAS DE REMISION</t>
  </si>
  <si>
    <t>16-018424</t>
  </si>
  <si>
    <t>16-018425</t>
  </si>
  <si>
    <t>16-018426</t>
  </si>
  <si>
    <t>16-018427</t>
  </si>
  <si>
    <t>16-018428</t>
  </si>
  <si>
    <t>16-018429</t>
  </si>
  <si>
    <t>16-018430</t>
  </si>
  <si>
    <t>16-018431</t>
  </si>
  <si>
    <t>16-018432</t>
  </si>
  <si>
    <t>16-018433</t>
  </si>
  <si>
    <t>16-018434</t>
  </si>
  <si>
    <t>16-018435</t>
  </si>
  <si>
    <t>16-018436</t>
  </si>
  <si>
    <t>16-018437</t>
  </si>
  <si>
    <t>16-018438</t>
  </si>
  <si>
    <t>16-018439</t>
  </si>
  <si>
    <t>16-018440</t>
  </si>
  <si>
    <t>16-018441</t>
  </si>
  <si>
    <t>16-018442</t>
  </si>
  <si>
    <t>16-018443</t>
  </si>
  <si>
    <t>16-018444</t>
  </si>
  <si>
    <t>16-018445</t>
  </si>
  <si>
    <t>16-018446</t>
  </si>
  <si>
    <t>16-018447</t>
  </si>
  <si>
    <t>16-018448</t>
  </si>
  <si>
    <t>16-018449</t>
  </si>
  <si>
    <t>16-018450</t>
  </si>
  <si>
    <t>16-018451</t>
  </si>
  <si>
    <t>16-018452</t>
  </si>
  <si>
    <t>16-018453</t>
  </si>
  <si>
    <t>16-018454</t>
  </si>
  <si>
    <t>16-018455</t>
  </si>
  <si>
    <t>16-018456</t>
  </si>
  <si>
    <t>16-018457</t>
  </si>
  <si>
    <t>16-018458</t>
  </si>
  <si>
    <t>16-018459</t>
  </si>
  <si>
    <t>16-018460</t>
  </si>
  <si>
    <t>16-018461</t>
  </si>
  <si>
    <t>16-018462</t>
  </si>
  <si>
    <t>12-013988</t>
  </si>
  <si>
    <t>002.08004.02</t>
  </si>
  <si>
    <t>PPY</t>
  </si>
  <si>
    <t>12-013989</t>
  </si>
  <si>
    <t>12-013990</t>
  </si>
  <si>
    <t>12-013991</t>
  </si>
  <si>
    <t>12-013992</t>
  </si>
  <si>
    <t>12-013993</t>
  </si>
  <si>
    <t>12-013994</t>
  </si>
  <si>
    <t>12-013995</t>
  </si>
  <si>
    <t>12-013996</t>
  </si>
  <si>
    <t>PESO TOTAL</t>
  </si>
  <si>
    <t>M-00004</t>
  </si>
  <si>
    <t>COREA DEL SUR</t>
  </si>
  <si>
    <t>M-00003</t>
  </si>
  <si>
    <t>12-013997</t>
  </si>
  <si>
    <t>12-013998</t>
  </si>
  <si>
    <t>12-013999</t>
  </si>
  <si>
    <t>12-014000</t>
  </si>
  <si>
    <t>12-014001</t>
  </si>
  <si>
    <t>12-014002</t>
  </si>
  <si>
    <t>12-014003</t>
  </si>
  <si>
    <t>12-014004</t>
  </si>
  <si>
    <t>12-014005</t>
  </si>
  <si>
    <t>12-014006</t>
  </si>
  <si>
    <t>12-014007</t>
  </si>
  <si>
    <t>12-014008</t>
  </si>
  <si>
    <t>12-014009</t>
  </si>
  <si>
    <t>12-014010</t>
  </si>
  <si>
    <t>16-018463</t>
  </si>
  <si>
    <t>16-018464</t>
  </si>
  <si>
    <t>16-018465</t>
  </si>
  <si>
    <t>16-018466</t>
  </si>
  <si>
    <t>16-018467</t>
  </si>
  <si>
    <t>16-018468</t>
  </si>
  <si>
    <t>16-018469</t>
  </si>
  <si>
    <t>16-018470</t>
  </si>
  <si>
    <t>16-018471</t>
  </si>
  <si>
    <t>16-018472</t>
  </si>
  <si>
    <t>16-018473</t>
  </si>
  <si>
    <t>16-018474</t>
  </si>
  <si>
    <t>16-018475</t>
  </si>
  <si>
    <t>16-018476</t>
  </si>
  <si>
    <t>16-018477</t>
  </si>
  <si>
    <t>16-018478</t>
  </si>
  <si>
    <t>16-018479</t>
  </si>
  <si>
    <t>16-018480</t>
  </si>
  <si>
    <t>16-018481</t>
  </si>
  <si>
    <t>16-018482</t>
  </si>
  <si>
    <t>16-018483</t>
  </si>
  <si>
    <t>16-018484</t>
  </si>
  <si>
    <t>16-018485</t>
  </si>
  <si>
    <t>16-018486</t>
  </si>
  <si>
    <t>16-018487</t>
  </si>
  <si>
    <t>16-018488</t>
  </si>
  <si>
    <t>16-018489</t>
  </si>
  <si>
    <t>16-018490</t>
  </si>
  <si>
    <t>16-018491</t>
  </si>
  <si>
    <t>16-018492</t>
  </si>
  <si>
    <t>16-018493</t>
  </si>
  <si>
    <t>16-018494</t>
  </si>
  <si>
    <t>16-018495</t>
  </si>
  <si>
    <t>16-018496</t>
  </si>
  <si>
    <t>16-018497</t>
  </si>
  <si>
    <t>16-018498</t>
  </si>
  <si>
    <t>16-018499</t>
  </si>
  <si>
    <t>16-018500</t>
  </si>
  <si>
    <t>16-018501</t>
  </si>
  <si>
    <t>16-018502</t>
  </si>
  <si>
    <t>16-018503</t>
  </si>
  <si>
    <t>M-00005</t>
  </si>
  <si>
    <t>M-00006</t>
  </si>
  <si>
    <t>M-00007</t>
  </si>
  <si>
    <t>M-00008</t>
  </si>
  <si>
    <t>M-00002</t>
  </si>
  <si>
    <t>PANAMA</t>
  </si>
  <si>
    <t xml:space="preserve">COREA DEL SUR </t>
  </si>
  <si>
    <t>16-018504</t>
  </si>
  <si>
    <t>16-018505</t>
  </si>
  <si>
    <t>16-018506</t>
  </si>
  <si>
    <t>16-018507</t>
  </si>
  <si>
    <t>16-018508</t>
  </si>
  <si>
    <t>16-018509</t>
  </si>
  <si>
    <t>16-018510</t>
  </si>
  <si>
    <t>16-018511</t>
  </si>
  <si>
    <t>16-018512</t>
  </si>
  <si>
    <t>16-018513</t>
  </si>
  <si>
    <t>16-018514</t>
  </si>
  <si>
    <t>16-018515</t>
  </si>
  <si>
    <t>16-018516</t>
  </si>
  <si>
    <t>16-018517</t>
  </si>
  <si>
    <t>16-018518</t>
  </si>
  <si>
    <t>16-018519</t>
  </si>
  <si>
    <t>16-018520</t>
  </si>
  <si>
    <t>16-018521</t>
  </si>
  <si>
    <t>16-018522</t>
  </si>
  <si>
    <t>16-018523</t>
  </si>
  <si>
    <t>16-018524</t>
  </si>
  <si>
    <t>16-018525</t>
  </si>
  <si>
    <t>16-018526</t>
  </si>
  <si>
    <t>16-018527</t>
  </si>
  <si>
    <t>16-018528</t>
  </si>
  <si>
    <t>16-018529</t>
  </si>
  <si>
    <t>16-018530</t>
  </si>
  <si>
    <t>16-018531</t>
  </si>
  <si>
    <t>16-018532</t>
  </si>
  <si>
    <t>16-018533</t>
  </si>
  <si>
    <t>16-018534</t>
  </si>
  <si>
    <t>16-018535</t>
  </si>
  <si>
    <t>16-018536</t>
  </si>
  <si>
    <t>16-018537</t>
  </si>
  <si>
    <t>16-018538</t>
  </si>
  <si>
    <t>16-018539</t>
  </si>
  <si>
    <t>16-018540</t>
  </si>
  <si>
    <t>16-018541</t>
  </si>
  <si>
    <t>16-018542</t>
  </si>
  <si>
    <t>16-018543</t>
  </si>
  <si>
    <t>16-018544</t>
  </si>
  <si>
    <t>16-018545</t>
  </si>
  <si>
    <t>16-018546</t>
  </si>
  <si>
    <t>16-018547</t>
  </si>
  <si>
    <t>16-018548</t>
  </si>
  <si>
    <t>16-018549</t>
  </si>
  <si>
    <t>16-018550</t>
  </si>
  <si>
    <t>16-018551</t>
  </si>
  <si>
    <t>16-018552</t>
  </si>
  <si>
    <t>16-018553</t>
  </si>
  <si>
    <t>12-014011</t>
  </si>
  <si>
    <t>12-014012</t>
  </si>
  <si>
    <t>12-014013</t>
  </si>
  <si>
    <t>12-014014</t>
  </si>
  <si>
    <t>12-014015</t>
  </si>
  <si>
    <t>12-014016</t>
  </si>
  <si>
    <t>12-014017</t>
  </si>
  <si>
    <t>12-014018</t>
  </si>
  <si>
    <t>12-014019</t>
  </si>
  <si>
    <t>12-014020</t>
  </si>
  <si>
    <t>12-014021</t>
  </si>
  <si>
    <t>12-014022</t>
  </si>
  <si>
    <t>12-014023</t>
  </si>
  <si>
    <t>12-014024</t>
  </si>
  <si>
    <t>12-014025</t>
  </si>
  <si>
    <t>M-00010</t>
  </si>
  <si>
    <t>M-00011</t>
  </si>
  <si>
    <t>M-00012</t>
  </si>
  <si>
    <t xml:space="preserve">PUERTO RICO </t>
  </si>
  <si>
    <t>M-00009B</t>
  </si>
  <si>
    <t>INDONESIA</t>
  </si>
  <si>
    <t>M-00009A</t>
  </si>
  <si>
    <t>12-014026</t>
  </si>
  <si>
    <t>002-08004-02</t>
  </si>
  <si>
    <t>12-014027</t>
  </si>
  <si>
    <t>12-014028</t>
  </si>
  <si>
    <t>12-014029</t>
  </si>
  <si>
    <t>12-014030</t>
  </si>
  <si>
    <t>12-014031</t>
  </si>
  <si>
    <t>12-014032</t>
  </si>
  <si>
    <t>12-014033</t>
  </si>
  <si>
    <t>12-014034</t>
  </si>
  <si>
    <t>12-014035</t>
  </si>
  <si>
    <t>12-014036</t>
  </si>
  <si>
    <t>12-014037</t>
  </si>
  <si>
    <t>12-014038</t>
  </si>
  <si>
    <t>12-014039</t>
  </si>
  <si>
    <t>12-014040</t>
  </si>
  <si>
    <t>12-014041</t>
  </si>
  <si>
    <t>12-014042</t>
  </si>
  <si>
    <t>12-014043</t>
  </si>
  <si>
    <t>12-014044</t>
  </si>
  <si>
    <t>12-014045</t>
  </si>
  <si>
    <t>12-014046</t>
  </si>
  <si>
    <t>12-014047</t>
  </si>
  <si>
    <t>16-018554</t>
  </si>
  <si>
    <t>16-018555</t>
  </si>
  <si>
    <t>16-018556</t>
  </si>
  <si>
    <t>16-018557</t>
  </si>
  <si>
    <t>16-018558</t>
  </si>
  <si>
    <t>16-018559</t>
  </si>
  <si>
    <t>16-018560</t>
  </si>
  <si>
    <t>16-018561</t>
  </si>
  <si>
    <t>16-018562</t>
  </si>
  <si>
    <t>16-018563</t>
  </si>
  <si>
    <t>16-018564</t>
  </si>
  <si>
    <t>sv</t>
  </si>
  <si>
    <t>16-018565</t>
  </si>
  <si>
    <t>16-018566</t>
  </si>
  <si>
    <t>16-018567</t>
  </si>
  <si>
    <t>16-018568</t>
  </si>
  <si>
    <t>16-018569</t>
  </si>
  <si>
    <t>16-018570</t>
  </si>
  <si>
    <t>16-018571</t>
  </si>
  <si>
    <t>16-018572</t>
  </si>
  <si>
    <t>16-018573</t>
  </si>
  <si>
    <t>16-018574</t>
  </si>
  <si>
    <t>16-018575</t>
  </si>
  <si>
    <t>16-018576</t>
  </si>
  <si>
    <t>16-018577</t>
  </si>
  <si>
    <t>16-018578</t>
  </si>
  <si>
    <t>16-018579</t>
  </si>
  <si>
    <t>16-018580</t>
  </si>
  <si>
    <t>16-018581</t>
  </si>
  <si>
    <t>16-018582</t>
  </si>
  <si>
    <t>16-018583</t>
  </si>
  <si>
    <t>16-018584</t>
  </si>
  <si>
    <t>16-018585</t>
  </si>
  <si>
    <t>16-018586</t>
  </si>
  <si>
    <t>16-018587</t>
  </si>
  <si>
    <t>16-018588</t>
  </si>
  <si>
    <t>16-018589</t>
  </si>
  <si>
    <t>16-018590</t>
  </si>
  <si>
    <t>16-018591</t>
  </si>
  <si>
    <t>16-018592</t>
  </si>
  <si>
    <t>16-018593</t>
  </si>
  <si>
    <t>16-018594</t>
  </si>
  <si>
    <t>16-018595</t>
  </si>
  <si>
    <t>16-018596</t>
  </si>
  <si>
    <t>16-018597</t>
  </si>
  <si>
    <t>16-018598</t>
  </si>
  <si>
    <t>16-018599</t>
  </si>
  <si>
    <t>16-018600</t>
  </si>
  <si>
    <t>16-018601</t>
  </si>
  <si>
    <t>16-018602</t>
  </si>
  <si>
    <t>16-018603</t>
  </si>
  <si>
    <t>16-018604</t>
  </si>
  <si>
    <t>16-018605</t>
  </si>
  <si>
    <t>16-018606</t>
  </si>
  <si>
    <t>M-00013</t>
  </si>
  <si>
    <t>M-00015</t>
  </si>
  <si>
    <t>M-00016</t>
  </si>
  <si>
    <t>M-00017</t>
  </si>
  <si>
    <t xml:space="preserve">CORA DEL SUR </t>
  </si>
  <si>
    <t>M-00021</t>
  </si>
  <si>
    <t>M-00014A</t>
  </si>
  <si>
    <t>16-018607</t>
  </si>
  <si>
    <t>16-018608</t>
  </si>
  <si>
    <t>16-018609</t>
  </si>
  <si>
    <t>16-018610</t>
  </si>
  <si>
    <t>16-018611</t>
  </si>
  <si>
    <t>16-018612</t>
  </si>
  <si>
    <t>16-018613</t>
  </si>
  <si>
    <t>16-018614</t>
  </si>
  <si>
    <t>16-018615</t>
  </si>
  <si>
    <t>16-018616</t>
  </si>
  <si>
    <t>16-018617</t>
  </si>
  <si>
    <t>16-018618</t>
  </si>
  <si>
    <t>16-018619</t>
  </si>
  <si>
    <t>16-018620</t>
  </si>
  <si>
    <t>16-018621</t>
  </si>
  <si>
    <t>16-018622</t>
  </si>
  <si>
    <t>16-018623</t>
  </si>
  <si>
    <t>16-018624</t>
  </si>
  <si>
    <t>16-018625</t>
  </si>
  <si>
    <t>16-018626</t>
  </si>
  <si>
    <t>16-018627</t>
  </si>
  <si>
    <t>16-018628</t>
  </si>
  <si>
    <t>16-018629</t>
  </si>
  <si>
    <t>16-018630</t>
  </si>
  <si>
    <t>M-00019</t>
  </si>
  <si>
    <t>RUSIA</t>
  </si>
  <si>
    <t>M-00020</t>
  </si>
  <si>
    <t>M-00018</t>
  </si>
  <si>
    <t>16-018631</t>
  </si>
  <si>
    <t>16-018632</t>
  </si>
  <si>
    <t>16-018633</t>
  </si>
  <si>
    <t>16-018634</t>
  </si>
  <si>
    <t>16-018635</t>
  </si>
  <si>
    <t>16-018636</t>
  </si>
  <si>
    <t>16-018637</t>
  </si>
  <si>
    <t>16-018638</t>
  </si>
  <si>
    <t>16-018639</t>
  </si>
  <si>
    <t>16-018640</t>
  </si>
  <si>
    <t>16-018641</t>
  </si>
  <si>
    <t>16-018642</t>
  </si>
  <si>
    <t>16-018643</t>
  </si>
  <si>
    <t>16-018644</t>
  </si>
  <si>
    <t>16-018645</t>
  </si>
  <si>
    <t>16-018646</t>
  </si>
  <si>
    <t>16-018647</t>
  </si>
  <si>
    <t>16-018648</t>
  </si>
  <si>
    <t>16-018649</t>
  </si>
  <si>
    <t>16-018650</t>
  </si>
  <si>
    <t>16-018651</t>
  </si>
  <si>
    <t>16-018652</t>
  </si>
  <si>
    <t>16-018653</t>
  </si>
  <si>
    <t>16-018654</t>
  </si>
  <si>
    <t>16-018655</t>
  </si>
  <si>
    <t>16-018656</t>
  </si>
  <si>
    <t>16-018657</t>
  </si>
  <si>
    <t>16-018658</t>
  </si>
  <si>
    <t>16-018659</t>
  </si>
  <si>
    <t>16-018660</t>
  </si>
  <si>
    <t>16-018661</t>
  </si>
  <si>
    <t>16-018662</t>
  </si>
  <si>
    <t>16-018663</t>
  </si>
  <si>
    <t>16-018664</t>
  </si>
  <si>
    <t>M-00014B</t>
  </si>
  <si>
    <t xml:space="preserve">SALDOS </t>
  </si>
  <si>
    <t>3790 SOBRA 2757</t>
  </si>
  <si>
    <t>3710 SOBRA 1642</t>
  </si>
  <si>
    <t>1470 SOBRA 392</t>
  </si>
  <si>
    <t>2670 SOBRA 746</t>
  </si>
  <si>
    <t>1800+1299 = 3099 SE USO OTRA GUIA</t>
  </si>
  <si>
    <t>3520 SOBRA 421</t>
  </si>
  <si>
    <t>M-00022</t>
  </si>
  <si>
    <t>M-00023</t>
  </si>
  <si>
    <t>12-014048</t>
  </si>
  <si>
    <t>12-014049</t>
  </si>
  <si>
    <t>12-014050</t>
  </si>
  <si>
    <t>12-014051</t>
  </si>
  <si>
    <t>12-014052</t>
  </si>
  <si>
    <t>12-014053</t>
  </si>
  <si>
    <t>12-014054</t>
  </si>
  <si>
    <t>12-014055</t>
  </si>
  <si>
    <t>12-014056</t>
  </si>
  <si>
    <t>12-014057</t>
  </si>
  <si>
    <t>12-014058</t>
  </si>
  <si>
    <t>12-014059</t>
  </si>
  <si>
    <t>12-014060</t>
  </si>
  <si>
    <t>12-014061</t>
  </si>
  <si>
    <t>12-014062</t>
  </si>
  <si>
    <t>12-014063</t>
  </si>
  <si>
    <t>12-014064</t>
  </si>
  <si>
    <t>12-014065</t>
  </si>
  <si>
    <t>12-014066</t>
  </si>
  <si>
    <t>12-014067</t>
  </si>
  <si>
    <t>12-014068</t>
  </si>
  <si>
    <t>12-014069</t>
  </si>
  <si>
    <t>12-014071</t>
  </si>
  <si>
    <t>12-014073</t>
  </si>
  <si>
    <t>12-014074</t>
  </si>
  <si>
    <t>14-009668</t>
  </si>
  <si>
    <t>SP</t>
  </si>
  <si>
    <t>002.08004.09</t>
  </si>
  <si>
    <t>14-009669</t>
  </si>
  <si>
    <t>14-009670</t>
  </si>
  <si>
    <t>EXP: 21485</t>
  </si>
  <si>
    <t>CANTIDAD DE SALIDA</t>
  </si>
  <si>
    <t>SALDO</t>
  </si>
  <si>
    <t>CANTIDAD PRESTADA</t>
  </si>
  <si>
    <t>GUIA DESTINO</t>
  </si>
  <si>
    <t>GUIA ORIGEN</t>
  </si>
  <si>
    <t>indonesia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</si>
</sst>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B050"/>
      <name val="Calibri"/>
      <family val="2"/>
      <scheme val="minor"/>
    </font>
    <font>
      <b/>
      <i/>
      <u/>
      <sz val="14"/>
      <color rgb="FF00B050"/>
      <name val="Baskerville Old Face"/>
      <family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rgb="FF00B050"/>
      <name val="Baskerville Old Face"/>
      <family val="1"/>
    </font>
    <font>
      <b/>
      <u/>
      <sz val="14"/>
      <color rgb="FF00B050"/>
      <name val="Calibri"/>
      <family val="2"/>
      <scheme val="minor"/>
    </font>
    <font>
      <b/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theme="1"/>
      <name val="Arial Unicode MS"/>
      <family val="2"/>
    </font>
    <font>
      <sz val="9"/>
      <color indexed="81"/>
      <name val="Tahoma"/>
      <family val="2"/>
    </font>
    <font>
      <sz val="11"/>
      <color indexed="81"/>
      <name val="Calibri"/>
      <family val="2"/>
      <scheme val="minor"/>
    </font>
    <font>
      <b/>
      <sz val="11"/>
      <color indexed="81"/>
      <name val="Calibri"/>
      <family val="2"/>
      <scheme val="minor"/>
    </font>
    <font>
      <b/>
      <sz val="14"/>
      <color theme="1"/>
      <name val="Arial Unicode MS"/>
      <family val="2"/>
    </font>
    <font>
      <b/>
      <sz val="16"/>
      <color theme="1"/>
      <name val="Baskerville Old Face"/>
      <family val="1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9EC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CCCC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19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0" borderId="6" xfId="0" applyBorder="1" applyProtection="1">
      <protection locked="0"/>
    </xf>
    <xf numFmtId="164" fontId="0" fillId="2" borderId="5" xfId="1" applyNumberFormat="1" applyFont="1" applyFill="1" applyBorder="1" applyProtection="1"/>
    <xf numFmtId="0" fontId="0" fillId="4" borderId="5" xfId="0" applyFill="1" applyBorder="1" applyProtection="1"/>
    <xf numFmtId="0" fontId="0" fillId="0" borderId="26" xfId="0" applyBorder="1" applyProtection="1">
      <protection locked="0"/>
    </xf>
    <xf numFmtId="43" fontId="0" fillId="2" borderId="30" xfId="0" applyNumberFormat="1" applyFill="1" applyBorder="1" applyProtection="1"/>
    <xf numFmtId="0" fontId="0" fillId="5" borderId="1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5" fillId="0" borderId="0" xfId="0" applyFont="1" applyProtection="1">
      <protection locked="0"/>
    </xf>
    <xf numFmtId="0" fontId="1" fillId="3" borderId="19" xfId="0" applyFont="1" applyFill="1" applyBorder="1" applyAlignment="1" applyProtection="1">
      <alignment horizontal="left"/>
      <protection locked="0"/>
    </xf>
    <xf numFmtId="0" fontId="0" fillId="3" borderId="25" xfId="0" applyFill="1" applyBorder="1" applyProtection="1"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1" fillId="3" borderId="20" xfId="0" applyFont="1" applyFill="1" applyBorder="1" applyAlignment="1" applyProtection="1">
      <alignment horizontal="left"/>
      <protection locked="0"/>
    </xf>
    <xf numFmtId="0" fontId="0" fillId="3" borderId="2" xfId="0" applyFill="1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5" borderId="6" xfId="0" applyFill="1" applyBorder="1" applyProtection="1"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1" fillId="0" borderId="0" xfId="0" applyFont="1"/>
    <xf numFmtId="0" fontId="0" fillId="3" borderId="17" xfId="0" applyFill="1" applyBorder="1" applyProtection="1">
      <protection locked="0"/>
    </xf>
    <xf numFmtId="0" fontId="6" fillId="7" borderId="1" xfId="0" applyFont="1" applyFill="1" applyBorder="1" applyAlignment="1">
      <alignment horizontal="center" vertical="center"/>
    </xf>
    <xf numFmtId="0" fontId="6" fillId="2" borderId="1" xfId="0" applyFont="1" applyFill="1" applyBorder="1" applyProtection="1"/>
    <xf numFmtId="0" fontId="3" fillId="3" borderId="21" xfId="0" applyFont="1" applyFill="1" applyBorder="1" applyAlignment="1" applyProtection="1">
      <alignment horizontal="center" vertical="center" wrapText="1"/>
      <protection locked="0"/>
    </xf>
    <xf numFmtId="14" fontId="1" fillId="3" borderId="24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/>
    <xf numFmtId="0" fontId="6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" fontId="6" fillId="6" borderId="13" xfId="0" applyNumberFormat="1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16" fontId="6" fillId="0" borderId="13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center"/>
    </xf>
    <xf numFmtId="16" fontId="6" fillId="12" borderId="13" xfId="0" applyNumberFormat="1" applyFont="1" applyFill="1" applyBorder="1" applyAlignment="1">
      <alignment horizontal="left" vertical="center"/>
    </xf>
    <xf numFmtId="0" fontId="14" fillId="12" borderId="1" xfId="0" applyFont="1" applyFill="1" applyBorder="1" applyAlignment="1">
      <alignment horizontal="center"/>
    </xf>
    <xf numFmtId="0" fontId="15" fillId="12" borderId="1" xfId="0" applyFont="1" applyFill="1" applyBorder="1" applyAlignment="1">
      <alignment horizontal="center" vertical="center"/>
    </xf>
    <xf numFmtId="16" fontId="6" fillId="10" borderId="13" xfId="0" applyNumberFormat="1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6" fillId="0" borderId="13" xfId="0" applyFont="1" applyBorder="1" applyAlignment="1">
      <alignment horizontal="left" vertical="center"/>
    </xf>
    <xf numFmtId="0" fontId="14" fillId="7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left" vertical="center"/>
    </xf>
    <xf numFmtId="0" fontId="14" fillId="0" borderId="1" xfId="0" applyFont="1" applyFill="1" applyBorder="1"/>
    <xf numFmtId="0" fontId="14" fillId="0" borderId="1" xfId="0" applyFont="1" applyBorder="1"/>
    <xf numFmtId="0" fontId="6" fillId="8" borderId="13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center" vertical="center"/>
    </xf>
    <xf numFmtId="0" fontId="6" fillId="11" borderId="13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14" fillId="11" borderId="1" xfId="0" applyFont="1" applyFill="1" applyBorder="1"/>
    <xf numFmtId="0" fontId="6" fillId="7" borderId="13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center"/>
    </xf>
    <xf numFmtId="0" fontId="14" fillId="5" borderId="1" xfId="0" applyFont="1" applyFill="1" applyBorder="1"/>
    <xf numFmtId="0" fontId="14" fillId="0" borderId="21" xfId="0" applyFont="1" applyFill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9" fillId="0" borderId="0" xfId="0" applyFont="1" applyBorder="1"/>
    <xf numFmtId="0" fontId="13" fillId="13" borderId="21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/>
    </xf>
    <xf numFmtId="0" fontId="14" fillId="14" borderId="1" xfId="0" applyFont="1" applyFill="1" applyBorder="1"/>
    <xf numFmtId="0" fontId="6" fillId="14" borderId="13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/>
    </xf>
    <xf numFmtId="16" fontId="6" fillId="16" borderId="13" xfId="0" applyNumberFormat="1" applyFont="1" applyFill="1" applyBorder="1" applyAlignment="1">
      <alignment horizontal="left" vertical="center"/>
    </xf>
    <xf numFmtId="0" fontId="14" fillId="16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6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/>
    </xf>
    <xf numFmtId="0" fontId="14" fillId="18" borderId="1" xfId="0" applyFont="1" applyFill="1" applyBorder="1"/>
    <xf numFmtId="0" fontId="6" fillId="18" borderId="13" xfId="0" applyFont="1" applyFill="1" applyBorder="1" applyAlignment="1">
      <alignment horizontal="left" vertical="center"/>
    </xf>
    <xf numFmtId="0" fontId="14" fillId="18" borderId="21" xfId="0" applyFont="1" applyFill="1" applyBorder="1" applyAlignment="1">
      <alignment horizontal="center"/>
    </xf>
    <xf numFmtId="0" fontId="14" fillId="18" borderId="21" xfId="0" applyFont="1" applyFill="1" applyBorder="1" applyAlignment="1">
      <alignment horizontal="center" vertical="center"/>
    </xf>
    <xf numFmtId="0" fontId="14" fillId="18" borderId="21" xfId="0" applyFont="1" applyFill="1" applyBorder="1"/>
    <xf numFmtId="0" fontId="14" fillId="2" borderId="13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" fontId="6" fillId="0" borderId="13" xfId="0" applyNumberFormat="1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16" fontId="6" fillId="2" borderId="13" xfId="0" applyNumberFormat="1" applyFont="1" applyFill="1" applyBorder="1" applyAlignment="1">
      <alignment horizontal="left" vertical="center"/>
    </xf>
    <xf numFmtId="0" fontId="6" fillId="0" borderId="2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19" borderId="13" xfId="0" applyFont="1" applyFill="1" applyBorder="1" applyAlignment="1">
      <alignment horizontal="left" vertical="center"/>
    </xf>
    <xf numFmtId="0" fontId="14" fillId="19" borderId="1" xfId="0" applyFont="1" applyFill="1" applyBorder="1" applyAlignment="1">
      <alignment horizontal="center"/>
    </xf>
    <xf numFmtId="0" fontId="6" fillId="19" borderId="1" xfId="0" applyFont="1" applyFill="1" applyBorder="1" applyAlignment="1">
      <alignment horizontal="center" vertical="center"/>
    </xf>
    <xf numFmtId="0" fontId="14" fillId="19" borderId="2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1" fillId="19" borderId="1" xfId="0" applyFont="1" applyFill="1" applyBorder="1" applyAlignment="1">
      <alignment horizontal="center"/>
    </xf>
    <xf numFmtId="0" fontId="6" fillId="20" borderId="1" xfId="0" applyFont="1" applyFill="1" applyBorder="1" applyAlignment="1">
      <alignment horizontal="center" vertical="center"/>
    </xf>
    <xf numFmtId="0" fontId="14" fillId="20" borderId="1" xfId="0" applyFont="1" applyFill="1" applyBorder="1" applyAlignment="1">
      <alignment horizontal="center"/>
    </xf>
    <xf numFmtId="0" fontId="6" fillId="20" borderId="1" xfId="0" applyFont="1" applyFill="1" applyBorder="1" applyAlignment="1">
      <alignment vertical="center"/>
    </xf>
    <xf numFmtId="0" fontId="0" fillId="0" borderId="0" xfId="0" applyFill="1"/>
    <xf numFmtId="0" fontId="6" fillId="0" borderId="0" xfId="0" applyFont="1" applyFill="1" applyBorder="1" applyAlignment="1">
      <alignment vertical="center" wrapText="1"/>
    </xf>
    <xf numFmtId="0" fontId="14" fillId="20" borderId="13" xfId="0" applyFont="1" applyFill="1" applyBorder="1" applyAlignment="1">
      <alignment horizontal="center"/>
    </xf>
    <xf numFmtId="0" fontId="14" fillId="20" borderId="1" xfId="0" applyFont="1" applyFill="1" applyBorder="1" applyAlignment="1">
      <alignment horizontal="center" vertical="center"/>
    </xf>
    <xf numFmtId="0" fontId="0" fillId="20" borderId="1" xfId="0" applyFill="1" applyBorder="1"/>
    <xf numFmtId="0" fontId="14" fillId="21" borderId="21" xfId="0" applyFont="1" applyFill="1" applyBorder="1" applyAlignment="1">
      <alignment horizontal="center"/>
    </xf>
    <xf numFmtId="0" fontId="14" fillId="21" borderId="1" xfId="0" applyFont="1" applyFill="1" applyBorder="1" applyAlignment="1">
      <alignment horizontal="center" vertical="center"/>
    </xf>
    <xf numFmtId="0" fontId="14" fillId="21" borderId="1" xfId="0" applyFont="1" applyFill="1" applyBorder="1"/>
    <xf numFmtId="16" fontId="6" fillId="21" borderId="13" xfId="0" applyNumberFormat="1" applyFont="1" applyFill="1" applyBorder="1" applyAlignment="1">
      <alignment horizontal="left" vertical="center"/>
    </xf>
    <xf numFmtId="0" fontId="14" fillId="21" borderId="1" xfId="0" applyFont="1" applyFill="1" applyBorder="1" applyAlignment="1">
      <alignment horizontal="center"/>
    </xf>
    <xf numFmtId="0" fontId="6" fillId="21" borderId="1" xfId="0" applyFont="1" applyFill="1" applyBorder="1" applyAlignment="1">
      <alignment horizontal="center" vertical="center"/>
    </xf>
    <xf numFmtId="0" fontId="6" fillId="22" borderId="13" xfId="0" applyFont="1" applyFill="1" applyBorder="1" applyAlignment="1">
      <alignment horizontal="left" vertical="center"/>
    </xf>
    <xf numFmtId="0" fontId="14" fillId="22" borderId="1" xfId="0" applyFont="1" applyFill="1" applyBorder="1" applyAlignment="1">
      <alignment horizontal="center"/>
    </xf>
    <xf numFmtId="0" fontId="6" fillId="22" borderId="1" xfId="0" applyFont="1" applyFill="1" applyBorder="1" applyAlignment="1">
      <alignment horizontal="center" vertical="center"/>
    </xf>
    <xf numFmtId="0" fontId="14" fillId="22" borderId="1" xfId="0" applyFont="1" applyFill="1" applyBorder="1"/>
    <xf numFmtId="0" fontId="14" fillId="22" borderId="21" xfId="0" applyFont="1" applyFill="1" applyBorder="1" applyAlignment="1">
      <alignment horizontal="center"/>
    </xf>
    <xf numFmtId="0" fontId="14" fillId="22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2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4" fillId="23" borderId="21" xfId="0" applyFont="1" applyFill="1" applyBorder="1" applyAlignment="1">
      <alignment horizontal="center"/>
    </xf>
    <xf numFmtId="0" fontId="14" fillId="23" borderId="1" xfId="0" applyFont="1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3" borderId="1" xfId="0" applyFill="1" applyBorder="1"/>
    <xf numFmtId="0" fontId="14" fillId="23" borderId="13" xfId="0" applyFont="1" applyFill="1" applyBorder="1" applyAlignment="1">
      <alignment horizontal="center"/>
    </xf>
    <xf numFmtId="0" fontId="14" fillId="23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Fill="1" applyBorder="1"/>
    <xf numFmtId="0" fontId="0" fillId="23" borderId="1" xfId="0" applyFill="1" applyBorder="1" applyAlignment="1">
      <alignment horizontal="center" vertical="center"/>
    </xf>
    <xf numFmtId="0" fontId="14" fillId="24" borderId="13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 vertic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6" fillId="24" borderId="1" xfId="0" applyFont="1" applyFill="1" applyBorder="1" applyAlignment="1">
      <alignment horizontal="center" vertical="center"/>
    </xf>
    <xf numFmtId="0" fontId="6" fillId="24" borderId="13" xfId="0" applyFont="1" applyFill="1" applyBorder="1" applyAlignment="1">
      <alignment horizontal="left" vertical="center"/>
    </xf>
    <xf numFmtId="0" fontId="14" fillId="25" borderId="1" xfId="0" applyFont="1" applyFill="1" applyBorder="1" applyAlignment="1">
      <alignment horizontal="center"/>
    </xf>
    <xf numFmtId="0" fontId="14" fillId="25" borderId="1" xfId="0" applyFont="1" applyFill="1" applyBorder="1"/>
    <xf numFmtId="0" fontId="0" fillId="0" borderId="0" xfId="0" applyFill="1" applyAlignment="1">
      <alignment horizontal="left"/>
    </xf>
    <xf numFmtId="16" fontId="6" fillId="6" borderId="24" xfId="0" applyNumberFormat="1" applyFont="1" applyFill="1" applyBorder="1" applyAlignment="1">
      <alignment horizontal="left" vertical="center"/>
    </xf>
    <xf numFmtId="0" fontId="14" fillId="6" borderId="34" xfId="0" applyFont="1" applyFill="1" applyBorder="1" applyAlignment="1">
      <alignment horizontal="center"/>
    </xf>
    <xf numFmtId="0" fontId="6" fillId="6" borderId="34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vertical="center"/>
    </xf>
    <xf numFmtId="0" fontId="6" fillId="25" borderId="13" xfId="0" applyFont="1" applyFill="1" applyBorder="1" applyAlignment="1">
      <alignment horizontal="left" vertical="center"/>
    </xf>
    <xf numFmtId="16" fontId="6" fillId="25" borderId="13" xfId="0" applyNumberFormat="1" applyFont="1" applyFill="1" applyBorder="1" applyAlignment="1">
      <alignment horizontal="left" vertical="center"/>
    </xf>
    <xf numFmtId="0" fontId="0" fillId="25" borderId="0" xfId="0" applyFill="1"/>
    <xf numFmtId="0" fontId="14" fillId="25" borderId="1" xfId="0" applyFont="1" applyFill="1" applyBorder="1" applyAlignment="1"/>
    <xf numFmtId="0" fontId="0" fillId="5" borderId="1" xfId="0" applyFill="1" applyBorder="1" applyAlignment="1" applyProtection="1">
      <alignment vertical="center"/>
      <protection locked="0"/>
    </xf>
    <xf numFmtId="0" fontId="3" fillId="3" borderId="36" xfId="0" applyFont="1" applyFill="1" applyBorder="1" applyAlignment="1" applyProtection="1">
      <alignment horizontal="center" vertical="center" wrapText="1"/>
      <protection locked="0"/>
    </xf>
    <xf numFmtId="0" fontId="6" fillId="26" borderId="1" xfId="0" applyFont="1" applyFill="1" applyBorder="1" applyAlignment="1">
      <alignment horizontal="center" vertical="center"/>
    </xf>
    <xf numFmtId="0" fontId="6" fillId="26" borderId="13" xfId="0" applyFont="1" applyFill="1" applyBorder="1" applyAlignment="1">
      <alignment horizontal="left" vertical="center"/>
    </xf>
    <xf numFmtId="0" fontId="14" fillId="26" borderId="1" xfId="0" applyFont="1" applyFill="1" applyBorder="1" applyAlignment="1">
      <alignment horizontal="center"/>
    </xf>
    <xf numFmtId="0" fontId="14" fillId="26" borderId="1" xfId="0" applyFont="1" applyFill="1" applyBorder="1"/>
    <xf numFmtId="0" fontId="0" fillId="26" borderId="0" xfId="0" applyFill="1"/>
    <xf numFmtId="0" fontId="14" fillId="26" borderId="13" xfId="0" applyFont="1" applyFill="1" applyBorder="1" applyAlignment="1">
      <alignment horizontal="center"/>
    </xf>
    <xf numFmtId="0" fontId="14" fillId="26" borderId="1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6" borderId="1" xfId="0" applyFill="1" applyBorder="1"/>
    <xf numFmtId="0" fontId="6" fillId="27" borderId="1" xfId="0" applyFont="1" applyFill="1" applyBorder="1" applyAlignment="1">
      <alignment horizontal="center" vertical="center"/>
    </xf>
    <xf numFmtId="0" fontId="14" fillId="27" borderId="1" xfId="0" applyFont="1" applyFill="1" applyBorder="1" applyAlignment="1">
      <alignment horizontal="center"/>
    </xf>
    <xf numFmtId="0" fontId="14" fillId="27" borderId="1" xfId="0" applyFont="1" applyFill="1" applyBorder="1"/>
    <xf numFmtId="0" fontId="0" fillId="27" borderId="0" xfId="0" applyFill="1"/>
    <xf numFmtId="0" fontId="6" fillId="27" borderId="13" xfId="0" applyFont="1" applyFill="1" applyBorder="1" applyAlignment="1">
      <alignment horizontal="left" vertical="center"/>
    </xf>
    <xf numFmtId="0" fontId="6" fillId="0" borderId="0" xfId="0" applyFont="1" applyFill="1"/>
    <xf numFmtId="0" fontId="6" fillId="0" borderId="1" xfId="0" applyFont="1" applyFill="1" applyBorder="1" applyAlignment="1">
      <alignment horizontal="center" vertical="center" wrapText="1"/>
    </xf>
    <xf numFmtId="16" fontId="6" fillId="0" borderId="13" xfId="0" applyNumberFormat="1" applyFont="1" applyFill="1" applyBorder="1" applyAlignment="1">
      <alignment horizontal="left" vertical="center"/>
    </xf>
    <xf numFmtId="0" fontId="17" fillId="0" borderId="1" xfId="0" applyFont="1" applyBorder="1" applyAlignment="1">
      <alignment horizontal="center"/>
    </xf>
    <xf numFmtId="0" fontId="17" fillId="8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/>
    </xf>
    <xf numFmtId="0" fontId="17" fillId="7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 vertical="center"/>
    </xf>
    <xf numFmtId="16" fontId="6" fillId="2" borderId="11" xfId="0" applyNumberFormat="1" applyFont="1" applyFill="1" applyBorder="1" applyAlignment="1">
      <alignment horizontal="center" vertical="center"/>
    </xf>
    <xf numFmtId="16" fontId="6" fillId="26" borderId="11" xfId="0" applyNumberFormat="1" applyFont="1" applyFill="1" applyBorder="1" applyAlignment="1">
      <alignment horizontal="center" vertical="center"/>
    </xf>
    <xf numFmtId="16" fontId="6" fillId="23" borderId="37" xfId="0" applyNumberFormat="1" applyFont="1" applyFill="1" applyBorder="1" applyAlignment="1">
      <alignment horizontal="center" vertical="center"/>
    </xf>
    <xf numFmtId="16" fontId="6" fillId="20" borderId="13" xfId="0" applyNumberFormat="1" applyFont="1" applyFill="1" applyBorder="1" applyAlignment="1">
      <alignment horizontal="left" vertical="center"/>
    </xf>
    <xf numFmtId="16" fontId="6" fillId="22" borderId="13" xfId="0" applyNumberFormat="1" applyFont="1" applyFill="1" applyBorder="1" applyAlignment="1">
      <alignment vertical="center"/>
    </xf>
    <xf numFmtId="16" fontId="6" fillId="0" borderId="13" xfId="0" applyNumberFormat="1" applyFont="1" applyFill="1" applyBorder="1" applyAlignment="1">
      <alignment vertical="center"/>
    </xf>
    <xf numFmtId="16" fontId="6" fillId="0" borderId="16" xfId="0" applyNumberFormat="1" applyFont="1" applyFill="1" applyBorder="1" applyAlignment="1">
      <alignment vertical="center"/>
    </xf>
    <xf numFmtId="16" fontId="6" fillId="23" borderId="13" xfId="0" applyNumberFormat="1" applyFont="1" applyFill="1" applyBorder="1" applyAlignment="1">
      <alignment vertical="center"/>
    </xf>
    <xf numFmtId="16" fontId="6" fillId="23" borderId="16" xfId="0" applyNumberFormat="1" applyFont="1" applyFill="1" applyBorder="1" applyAlignment="1">
      <alignment vertical="center"/>
    </xf>
    <xf numFmtId="16" fontId="6" fillId="23" borderId="16" xfId="0" applyNumberFormat="1" applyFont="1" applyFill="1" applyBorder="1" applyAlignment="1">
      <alignment horizontal="center" vertical="center"/>
    </xf>
    <xf numFmtId="16" fontId="6" fillId="19" borderId="13" xfId="0" applyNumberFormat="1" applyFont="1" applyFill="1" applyBorder="1" applyAlignment="1">
      <alignment vertical="center"/>
    </xf>
    <xf numFmtId="0" fontId="14" fillId="28" borderId="1" xfId="0" applyFont="1" applyFill="1" applyBorder="1" applyAlignment="1">
      <alignment horizontal="center"/>
    </xf>
    <xf numFmtId="0" fontId="14" fillId="28" borderId="31" xfId="0" applyFont="1" applyFill="1" applyBorder="1" applyAlignment="1">
      <alignment horizontal="center"/>
    </xf>
    <xf numFmtId="0" fontId="14" fillId="28" borderId="17" xfId="0" applyFont="1" applyFill="1" applyBorder="1" applyAlignment="1">
      <alignment horizontal="center"/>
    </xf>
    <xf numFmtId="16" fontId="6" fillId="28" borderId="13" xfId="0" applyNumberFormat="1" applyFont="1" applyFill="1" applyBorder="1" applyAlignment="1">
      <alignment horizontal="left" vertical="center"/>
    </xf>
    <xf numFmtId="0" fontId="6" fillId="28" borderId="1" xfId="0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vertical="center"/>
    </xf>
    <xf numFmtId="16" fontId="6" fillId="28" borderId="29" xfId="0" applyNumberFormat="1" applyFont="1" applyFill="1" applyBorder="1" applyAlignment="1">
      <alignment horizontal="left" vertical="center"/>
    </xf>
    <xf numFmtId="0" fontId="6" fillId="28" borderId="31" xfId="0" applyFont="1" applyFill="1" applyBorder="1" applyAlignment="1">
      <alignment horizontal="center" vertical="center"/>
    </xf>
    <xf numFmtId="0" fontId="6" fillId="28" borderId="31" xfId="0" applyFont="1" applyFill="1" applyBorder="1" applyAlignment="1">
      <alignment vertical="center"/>
    </xf>
    <xf numFmtId="16" fontId="6" fillId="28" borderId="12" xfId="0" applyNumberFormat="1" applyFont="1" applyFill="1" applyBorder="1" applyAlignment="1">
      <alignment horizontal="left" vertical="center"/>
    </xf>
    <xf numFmtId="0" fontId="6" fillId="28" borderId="17" xfId="0" applyFont="1" applyFill="1" applyBorder="1" applyAlignment="1">
      <alignment horizontal="center" vertical="center"/>
    </xf>
    <xf numFmtId="0" fontId="6" fillId="28" borderId="17" xfId="0" applyFont="1" applyFill="1" applyBorder="1" applyAlignment="1">
      <alignment vertical="center"/>
    </xf>
    <xf numFmtId="0" fontId="17" fillId="28" borderId="1" xfId="0" applyFont="1" applyFill="1" applyBorder="1" applyAlignment="1">
      <alignment horizontal="center"/>
    </xf>
    <xf numFmtId="0" fontId="0" fillId="2" borderId="0" xfId="0" applyFill="1"/>
    <xf numFmtId="0" fontId="13" fillId="13" borderId="33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/>
    </xf>
    <xf numFmtId="0" fontId="17" fillId="28" borderId="20" xfId="0" applyFont="1" applyFill="1" applyBorder="1" applyAlignment="1">
      <alignment horizontal="center"/>
    </xf>
    <xf numFmtId="0" fontId="17" fillId="8" borderId="20" xfId="0" applyFont="1" applyFill="1" applyBorder="1" applyAlignment="1">
      <alignment horizontal="center" vertical="center"/>
    </xf>
    <xf numFmtId="0" fontId="17" fillId="7" borderId="20" xfId="0" applyFont="1" applyFill="1" applyBorder="1" applyAlignment="1">
      <alignment horizontal="center" vertical="center"/>
    </xf>
    <xf numFmtId="0" fontId="17" fillId="21" borderId="20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0" fillId="0" borderId="0" xfId="0" applyBorder="1"/>
    <xf numFmtId="0" fontId="6" fillId="2" borderId="0" xfId="0" applyFont="1" applyFill="1" applyAlignment="1">
      <alignment horizontal="left"/>
    </xf>
    <xf numFmtId="0" fontId="1" fillId="2" borderId="0" xfId="0" applyFont="1" applyFill="1"/>
    <xf numFmtId="0" fontId="6" fillId="2" borderId="0" xfId="0" applyFont="1" applyFill="1" applyBorder="1" applyAlignment="1">
      <alignment horizontal="left" vertical="center"/>
    </xf>
    <xf numFmtId="0" fontId="0" fillId="0" borderId="22" xfId="0" applyBorder="1"/>
    <xf numFmtId="0" fontId="1" fillId="28" borderId="22" xfId="0" applyFont="1" applyFill="1" applyBorder="1"/>
    <xf numFmtId="0" fontId="0" fillId="2" borderId="22" xfId="0" applyFill="1" applyBorder="1"/>
    <xf numFmtId="0" fontId="6" fillId="2" borderId="0" xfId="0" applyFont="1" applyFill="1" applyBorder="1" applyAlignment="1">
      <alignment horizontal="left"/>
    </xf>
    <xf numFmtId="0" fontId="0" fillId="0" borderId="22" xfId="0" applyBorder="1" applyAlignment="1">
      <alignment horizontal="center" vertical="center" wrapText="1"/>
    </xf>
    <xf numFmtId="0" fontId="1" fillId="21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0" fontId="6" fillId="29" borderId="13" xfId="0" applyFont="1" applyFill="1" applyBorder="1" applyAlignment="1">
      <alignment horizontal="left" vertical="center"/>
    </xf>
    <xf numFmtId="0" fontId="14" fillId="29" borderId="1" xfId="0" applyFont="1" applyFill="1" applyBorder="1" applyAlignment="1">
      <alignment horizontal="center"/>
    </xf>
    <xf numFmtId="0" fontId="14" fillId="29" borderId="1" xfId="0" applyFont="1" applyFill="1" applyBorder="1"/>
    <xf numFmtId="0" fontId="18" fillId="29" borderId="20" xfId="0" applyFont="1" applyFill="1" applyBorder="1" applyAlignment="1">
      <alignment horizontal="center"/>
    </xf>
    <xf numFmtId="0" fontId="1" fillId="30" borderId="1" xfId="0" applyFont="1" applyFill="1" applyBorder="1" applyAlignment="1">
      <alignment horizontal="center"/>
    </xf>
    <xf numFmtId="0" fontId="14" fillId="30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0" borderId="1" xfId="0" applyFill="1" applyBorder="1"/>
    <xf numFmtId="0" fontId="6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/>
    <xf numFmtId="16" fontId="6" fillId="0" borderId="1" xfId="0" applyNumberFormat="1" applyFont="1" applyFill="1" applyBorder="1" applyAlignment="1">
      <alignment horizontal="left" vertical="center"/>
    </xf>
    <xf numFmtId="16" fontId="6" fillId="30" borderId="1" xfId="0" applyNumberFormat="1" applyFont="1" applyFill="1" applyBorder="1" applyAlignment="1">
      <alignment horizontal="left" vertical="center"/>
    </xf>
    <xf numFmtId="16" fontId="6" fillId="2" borderId="1" xfId="0" applyNumberFormat="1" applyFont="1" applyFill="1" applyBorder="1" applyAlignment="1">
      <alignment horizontal="left" vertical="center"/>
    </xf>
    <xf numFmtId="0" fontId="17" fillId="19" borderId="33" xfId="0" applyFont="1" applyFill="1" applyBorder="1" applyAlignment="1">
      <alignment horizontal="center" vertical="center" wrapText="1"/>
    </xf>
    <xf numFmtId="0" fontId="17" fillId="22" borderId="33" xfId="0" applyFont="1" applyFill="1" applyBorder="1" applyAlignment="1">
      <alignment horizontal="center" vertical="center"/>
    </xf>
    <xf numFmtId="0" fontId="17" fillId="21" borderId="33" xfId="0" applyFont="1" applyFill="1" applyBorder="1" applyAlignment="1">
      <alignment horizontal="center" vertical="center" wrapText="1"/>
    </xf>
    <xf numFmtId="0" fontId="17" fillId="23" borderId="21" xfId="0" applyFont="1" applyFill="1" applyBorder="1" applyAlignment="1">
      <alignment horizontal="center" vertical="center"/>
    </xf>
    <xf numFmtId="0" fontId="17" fillId="23" borderId="33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33" xfId="0" applyFont="1" applyFill="1" applyBorder="1" applyAlignment="1">
      <alignment horizontal="center" vertical="center"/>
    </xf>
    <xf numFmtId="0" fontId="17" fillId="19" borderId="21" xfId="0" applyFont="1" applyFill="1" applyBorder="1" applyAlignment="1">
      <alignment horizontal="center" vertical="center" wrapText="1"/>
    </xf>
    <xf numFmtId="0" fontId="17" fillId="21" borderId="21" xfId="0" applyFont="1" applyFill="1" applyBorder="1" applyAlignment="1">
      <alignment horizontal="center" vertical="center"/>
    </xf>
    <xf numFmtId="0" fontId="17" fillId="9" borderId="33" xfId="0" applyFont="1" applyFill="1" applyBorder="1" applyAlignment="1">
      <alignment horizontal="center" vertical="center" wrapText="1"/>
    </xf>
    <xf numFmtId="0" fontId="17" fillId="22" borderId="21" xfId="0" applyFont="1" applyFill="1" applyBorder="1" applyAlignment="1">
      <alignment horizontal="center" vertical="center"/>
    </xf>
    <xf numFmtId="0" fontId="17" fillId="19" borderId="33" xfId="0" applyFont="1" applyFill="1" applyBorder="1" applyAlignment="1">
      <alignment horizontal="center" vertical="center"/>
    </xf>
    <xf numFmtId="0" fontId="17" fillId="16" borderId="33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 wrapText="1"/>
    </xf>
    <xf numFmtId="0" fontId="17" fillId="19" borderId="21" xfId="0" applyFont="1" applyFill="1" applyBorder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33" xfId="0" applyFont="1" applyFill="1" applyBorder="1" applyAlignment="1">
      <alignment horizontal="center" vertical="center"/>
    </xf>
    <xf numFmtId="0" fontId="17" fillId="20" borderId="21" xfId="0" applyFont="1" applyFill="1" applyBorder="1" applyAlignment="1">
      <alignment horizontal="center" vertical="center"/>
    </xf>
    <xf numFmtId="16" fontId="6" fillId="0" borderId="16" xfId="0" applyNumberFormat="1" applyFont="1" applyFill="1" applyBorder="1" applyAlignment="1">
      <alignment horizontal="left" vertical="center"/>
    </xf>
    <xf numFmtId="0" fontId="17" fillId="17" borderId="33" xfId="0" applyFont="1" applyFill="1" applyBorder="1" applyAlignment="1">
      <alignment horizontal="center" vertical="center"/>
    </xf>
    <xf numFmtId="0" fontId="17" fillId="14" borderId="21" xfId="0" applyFont="1" applyFill="1" applyBorder="1" applyAlignment="1">
      <alignment horizontal="center" vertical="center"/>
    </xf>
    <xf numFmtId="0" fontId="17" fillId="14" borderId="33" xfId="0" applyFont="1" applyFill="1" applyBorder="1" applyAlignment="1">
      <alignment horizontal="center" vertical="center"/>
    </xf>
    <xf numFmtId="0" fontId="17" fillId="18" borderId="21" xfId="0" applyFont="1" applyFill="1" applyBorder="1" applyAlignment="1">
      <alignment horizontal="center" vertical="center"/>
    </xf>
    <xf numFmtId="0" fontId="17" fillId="18" borderId="33" xfId="0" applyFont="1" applyFill="1" applyBorder="1" applyAlignment="1">
      <alignment horizontal="center" vertical="center"/>
    </xf>
    <xf numFmtId="0" fontId="17" fillId="16" borderId="21" xfId="0" applyFont="1" applyFill="1" applyBorder="1" applyAlignment="1">
      <alignment horizontal="center" vertical="center"/>
    </xf>
    <xf numFmtId="0" fontId="17" fillId="16" borderId="33" xfId="0" applyFont="1" applyFill="1" applyBorder="1" applyAlignment="1">
      <alignment horizontal="center"/>
    </xf>
    <xf numFmtId="0" fontId="17" fillId="17" borderId="21" xfId="0" applyFont="1" applyFill="1" applyBorder="1" applyAlignment="1">
      <alignment horizontal="center" vertical="center"/>
    </xf>
    <xf numFmtId="0" fontId="17" fillId="10" borderId="21" xfId="0" applyFont="1" applyFill="1" applyBorder="1" applyAlignment="1">
      <alignment horizontal="center" vertical="center"/>
    </xf>
    <xf numFmtId="0" fontId="17" fillId="15" borderId="21" xfId="0" applyFont="1" applyFill="1" applyBorder="1" applyAlignment="1">
      <alignment horizontal="center" vertical="center"/>
    </xf>
    <xf numFmtId="0" fontId="17" fillId="15" borderId="33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7" fillId="7" borderId="33" xfId="0" applyFont="1" applyFill="1" applyBorder="1" applyAlignment="1">
      <alignment horizontal="center" vertical="center"/>
    </xf>
    <xf numFmtId="0" fontId="17" fillId="9" borderId="21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17" fillId="12" borderId="21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0" borderId="33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33" xfId="0" applyFont="1" applyFill="1" applyBorder="1" applyAlignment="1">
      <alignment horizontal="center" vertical="center"/>
    </xf>
    <xf numFmtId="0" fontId="17" fillId="8" borderId="21" xfId="0" applyFont="1" applyFill="1" applyBorder="1" applyAlignment="1">
      <alignment horizontal="center" vertical="center"/>
    </xf>
    <xf numFmtId="0" fontId="17" fillId="8" borderId="33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0" fontId="17" fillId="11" borderId="33" xfId="0" applyFont="1" applyFill="1" applyBorder="1" applyAlignment="1">
      <alignment horizontal="center" vertical="center" wrapText="1"/>
    </xf>
    <xf numFmtId="0" fontId="17" fillId="11" borderId="33" xfId="0" applyFont="1" applyFill="1" applyBorder="1" applyAlignment="1">
      <alignment horizontal="center" vertical="center"/>
    </xf>
    <xf numFmtId="0" fontId="17" fillId="27" borderId="21" xfId="0" applyFont="1" applyFill="1" applyBorder="1" applyAlignment="1">
      <alignment horizontal="center" vertical="center"/>
    </xf>
    <xf numFmtId="0" fontId="17" fillId="27" borderId="33" xfId="0" applyFont="1" applyFill="1" applyBorder="1" applyAlignment="1">
      <alignment horizontal="center" vertical="center"/>
    </xf>
    <xf numFmtId="0" fontId="16" fillId="28" borderId="21" xfId="0" applyFont="1" applyFill="1" applyBorder="1" applyAlignment="1">
      <alignment horizontal="center" vertical="center"/>
    </xf>
    <xf numFmtId="0" fontId="17" fillId="29" borderId="21" xfId="0" applyFont="1" applyFill="1" applyBorder="1" applyAlignment="1">
      <alignment horizontal="center" vertical="center"/>
    </xf>
    <xf numFmtId="0" fontId="22" fillId="30" borderId="1" xfId="0" applyFont="1" applyFill="1" applyBorder="1" applyAlignment="1">
      <alignment horizontal="center" vertical="center"/>
    </xf>
    <xf numFmtId="0" fontId="9" fillId="30" borderId="21" xfId="0" applyFont="1" applyFill="1" applyBorder="1" applyAlignment="1">
      <alignment horizontal="center" vertical="center"/>
    </xf>
    <xf numFmtId="0" fontId="17" fillId="28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16" fontId="6" fillId="12" borderId="13" xfId="0" applyNumberFormat="1" applyFont="1" applyFill="1" applyBorder="1" applyAlignment="1">
      <alignment vertical="center" wrapText="1"/>
    </xf>
    <xf numFmtId="0" fontId="17" fillId="29" borderId="20" xfId="0" applyFont="1" applyFill="1" applyBorder="1" applyAlignment="1">
      <alignment horizontal="center"/>
    </xf>
    <xf numFmtId="0" fontId="17" fillId="22" borderId="20" xfId="0" applyFont="1" applyFill="1" applyBorder="1" applyAlignment="1">
      <alignment horizontal="center"/>
    </xf>
    <xf numFmtId="0" fontId="17" fillId="28" borderId="20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/>
    </xf>
    <xf numFmtId="0" fontId="17" fillId="29" borderId="20" xfId="0" applyFont="1" applyFill="1" applyBorder="1" applyAlignment="1">
      <alignment horizontal="center" vertical="center"/>
    </xf>
    <xf numFmtId="0" fontId="17" fillId="25" borderId="20" xfId="0" applyFont="1" applyFill="1" applyBorder="1" applyAlignment="1">
      <alignment horizontal="center"/>
    </xf>
    <xf numFmtId="0" fontId="17" fillId="28" borderId="20" xfId="0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0" fontId="17" fillId="0" borderId="17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2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26" borderId="1" xfId="0" applyFont="1" applyFill="1" applyBorder="1" applyAlignment="1">
      <alignment horizontal="center"/>
    </xf>
    <xf numFmtId="0" fontId="18" fillId="26" borderId="20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0" borderId="21" xfId="0" applyFont="1" applyFill="1" applyBorder="1" applyAlignment="1">
      <alignment horizontal="center" vertical="center"/>
    </xf>
    <xf numFmtId="0" fontId="17" fillId="0" borderId="33" xfId="0" applyFont="1" applyFill="1" applyBorder="1" applyAlignment="1">
      <alignment horizontal="center" vertical="center" wrapText="1"/>
    </xf>
    <xf numFmtId="0" fontId="18" fillId="0" borderId="21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30" borderId="1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 vertical="center" wrapText="1"/>
    </xf>
    <xf numFmtId="16" fontId="6" fillId="24" borderId="11" xfId="0" applyNumberFormat="1" applyFont="1" applyFill="1" applyBorder="1" applyAlignment="1">
      <alignment vertical="center"/>
    </xf>
    <xf numFmtId="0" fontId="6" fillId="24" borderId="16" xfId="0" applyFont="1" applyFill="1" applyBorder="1" applyAlignment="1">
      <alignment vertical="center"/>
    </xf>
    <xf numFmtId="16" fontId="6" fillId="10" borderId="13" xfId="0" applyNumberFormat="1" applyFont="1" applyFill="1" applyBorder="1" applyAlignment="1">
      <alignment vertical="center"/>
    </xf>
    <xf numFmtId="16" fontId="6" fillId="15" borderId="13" xfId="0" applyNumberFormat="1" applyFont="1" applyFill="1" applyBorder="1" applyAlignment="1">
      <alignment vertical="center"/>
    </xf>
    <xf numFmtId="16" fontId="6" fillId="15" borderId="16" xfId="0" applyNumberFormat="1" applyFont="1" applyFill="1" applyBorder="1" applyAlignment="1">
      <alignment vertical="center"/>
    </xf>
    <xf numFmtId="16" fontId="6" fillId="17" borderId="13" xfId="0" applyNumberFormat="1" applyFont="1" applyFill="1" applyBorder="1" applyAlignment="1">
      <alignment vertical="center"/>
    </xf>
    <xf numFmtId="0" fontId="6" fillId="17" borderId="16" xfId="0" applyFont="1" applyFill="1" applyBorder="1" applyAlignment="1">
      <alignment vertical="center"/>
    </xf>
    <xf numFmtId="0" fontId="6" fillId="17" borderId="16" xfId="0" applyFont="1" applyFill="1" applyBorder="1" applyAlignment="1">
      <alignment vertical="center" wrapText="1"/>
    </xf>
    <xf numFmtId="0" fontId="6" fillId="9" borderId="16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11" borderId="13" xfId="0" applyFont="1" applyFill="1" applyBorder="1" applyAlignment="1">
      <alignment vertical="center"/>
    </xf>
    <xf numFmtId="0" fontId="6" fillId="27" borderId="13" xfId="0" applyFont="1" applyFill="1" applyBorder="1" applyAlignment="1">
      <alignment vertical="center"/>
    </xf>
    <xf numFmtId="0" fontId="6" fillId="29" borderId="13" xfId="0" applyFont="1" applyFill="1" applyBorder="1" applyAlignment="1">
      <alignment vertical="center"/>
    </xf>
    <xf numFmtId="0" fontId="6" fillId="14" borderId="13" xfId="0" applyFont="1" applyFill="1" applyBorder="1" applyAlignment="1">
      <alignment vertical="center"/>
    </xf>
    <xf numFmtId="0" fontId="6" fillId="28" borderId="13" xfId="0" applyFont="1" applyFill="1" applyBorder="1" applyAlignment="1">
      <alignment vertical="center"/>
    </xf>
    <xf numFmtId="0" fontId="6" fillId="17" borderId="13" xfId="0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16" borderId="13" xfId="0" applyFont="1" applyFill="1" applyBorder="1" applyAlignment="1">
      <alignment vertical="center"/>
    </xf>
    <xf numFmtId="0" fontId="6" fillId="9" borderId="13" xfId="0" applyFont="1" applyFill="1" applyBorder="1" applyAlignment="1">
      <alignment vertical="center"/>
    </xf>
    <xf numFmtId="0" fontId="6" fillId="19" borderId="13" xfId="0" applyFont="1" applyFill="1" applyBorder="1" applyAlignment="1">
      <alignment vertical="center"/>
    </xf>
    <xf numFmtId="0" fontId="6" fillId="0" borderId="13" xfId="0" applyFont="1" applyFill="1" applyBorder="1" applyAlignment="1">
      <alignment vertical="center"/>
    </xf>
    <xf numFmtId="0" fontId="6" fillId="5" borderId="13" xfId="0" applyFont="1" applyFill="1" applyBorder="1" applyAlignment="1">
      <alignment vertical="center"/>
    </xf>
    <xf numFmtId="0" fontId="6" fillId="26" borderId="13" xfId="0" applyFont="1" applyFill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18" borderId="13" xfId="0" applyFont="1" applyFill="1" applyBorder="1" applyAlignment="1">
      <alignment vertical="center"/>
    </xf>
    <xf numFmtId="0" fontId="6" fillId="21" borderId="16" xfId="0" applyFont="1" applyFill="1" applyBorder="1" applyAlignment="1">
      <alignment vertical="center"/>
    </xf>
    <xf numFmtId="0" fontId="6" fillId="22" borderId="16" xfId="0" applyFont="1" applyFill="1" applyBorder="1" applyAlignment="1">
      <alignment vertical="center"/>
    </xf>
    <xf numFmtId="0" fontId="6" fillId="0" borderId="16" xfId="0" applyFont="1" applyFill="1" applyBorder="1" applyAlignment="1">
      <alignment vertical="center" wrapText="1"/>
    </xf>
    <xf numFmtId="0" fontId="6" fillId="0" borderId="16" xfId="0" applyFont="1" applyFill="1" applyBorder="1" applyAlignment="1">
      <alignment vertical="center"/>
    </xf>
    <xf numFmtId="16" fontId="6" fillId="20" borderId="18" xfId="0" applyNumberFormat="1" applyFont="1" applyFill="1" applyBorder="1" applyAlignment="1">
      <alignment vertical="center"/>
    </xf>
    <xf numFmtId="16" fontId="6" fillId="0" borderId="11" xfId="0" applyNumberFormat="1" applyFont="1" applyFill="1" applyBorder="1" applyAlignment="1">
      <alignment vertical="center"/>
    </xf>
    <xf numFmtId="16" fontId="6" fillId="2" borderId="11" xfId="0" applyNumberFormat="1" applyFont="1" applyFill="1" applyBorder="1" applyAlignment="1">
      <alignment vertical="center"/>
    </xf>
    <xf numFmtId="16" fontId="6" fillId="23" borderId="11" xfId="0" applyNumberFormat="1" applyFont="1" applyFill="1" applyBorder="1" applyAlignment="1">
      <alignment vertical="center"/>
    </xf>
    <xf numFmtId="16" fontId="6" fillId="2" borderId="16" xfId="0" applyNumberFormat="1" applyFont="1" applyFill="1" applyBorder="1" applyAlignment="1">
      <alignment vertical="center"/>
    </xf>
    <xf numFmtId="16" fontId="6" fillId="20" borderId="16" xfId="0" applyNumberFormat="1" applyFont="1" applyFill="1" applyBorder="1" applyAlignment="1">
      <alignment vertical="center"/>
    </xf>
    <xf numFmtId="16" fontId="6" fillId="22" borderId="16" xfId="0" applyNumberFormat="1" applyFont="1" applyFill="1" applyBorder="1" applyAlignment="1">
      <alignment vertical="center"/>
    </xf>
    <xf numFmtId="16" fontId="6" fillId="19" borderId="16" xfId="0" applyNumberFormat="1" applyFont="1" applyFill="1" applyBorder="1" applyAlignment="1">
      <alignment vertical="center"/>
    </xf>
    <xf numFmtId="0" fontId="6" fillId="30" borderId="1" xfId="0" applyFont="1" applyFill="1" applyBorder="1" applyAlignment="1">
      <alignment vertical="center"/>
    </xf>
    <xf numFmtId="16" fontId="6" fillId="2" borderId="1" xfId="0" applyNumberFormat="1" applyFont="1" applyFill="1" applyBorder="1" applyAlignment="1">
      <alignment vertical="center"/>
    </xf>
    <xf numFmtId="16" fontId="6" fillId="0" borderId="1" xfId="0" applyNumberFormat="1" applyFont="1" applyFill="1" applyBorder="1" applyAlignment="1">
      <alignment vertical="center"/>
    </xf>
    <xf numFmtId="16" fontId="6" fillId="30" borderId="1" xfId="0" applyNumberFormat="1" applyFont="1" applyFill="1" applyBorder="1" applyAlignment="1">
      <alignment vertical="center"/>
    </xf>
    <xf numFmtId="0" fontId="0" fillId="5" borderId="1" xfId="0" applyFill="1" applyBorder="1" applyAlignment="1" applyProtection="1">
      <alignment horizontal="center" vertical="center"/>
      <protection locked="0"/>
    </xf>
    <xf numFmtId="0" fontId="13" fillId="13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" fontId="23" fillId="0" borderId="1" xfId="0" applyNumberFormat="1" applyFont="1" applyFill="1" applyBorder="1" applyAlignment="1">
      <alignment vertical="center"/>
    </xf>
    <xf numFmtId="16" fontId="23" fillId="0" borderId="38" xfId="0" applyNumberFormat="1" applyFont="1" applyFill="1" applyBorder="1" applyAlignment="1">
      <alignment vertical="center"/>
    </xf>
    <xf numFmtId="0" fontId="1" fillId="0" borderId="38" xfId="0" applyFont="1" applyBorder="1" applyAlignment="1">
      <alignment horizontal="left" vertical="center"/>
    </xf>
    <xf numFmtId="0" fontId="0" fillId="0" borderId="38" xfId="0" applyBorder="1" applyAlignment="1">
      <alignment horizontal="center"/>
    </xf>
    <xf numFmtId="0" fontId="14" fillId="2" borderId="38" xfId="0" applyFont="1" applyFill="1" applyBorder="1" applyAlignment="1">
      <alignment horizontal="center"/>
    </xf>
    <xf numFmtId="0" fontId="1" fillId="0" borderId="38" xfId="0" applyFont="1" applyBorder="1" applyAlignment="1">
      <alignment horizontal="center" vertical="center"/>
    </xf>
    <xf numFmtId="0" fontId="0" fillId="0" borderId="38" xfId="0" applyBorder="1"/>
    <xf numFmtId="0" fontId="1" fillId="0" borderId="38" xfId="0" applyFont="1" applyBorder="1"/>
    <xf numFmtId="0" fontId="0" fillId="2" borderId="20" xfId="0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right"/>
      <protection locked="0"/>
    </xf>
    <xf numFmtId="0" fontId="0" fillId="2" borderId="28" xfId="0" applyFill="1" applyBorder="1" applyAlignment="1" applyProtection="1">
      <alignment horizontal="right"/>
      <protection locked="0"/>
    </xf>
    <xf numFmtId="0" fontId="0" fillId="2" borderId="29" xfId="0" applyFill="1" applyBorder="1" applyAlignment="1" applyProtection="1">
      <alignment horizontal="right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2" xfId="0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 wrapText="1"/>
      <protection locked="0"/>
    </xf>
    <xf numFmtId="0" fontId="5" fillId="3" borderId="14" xfId="0" applyFont="1" applyFill="1" applyBorder="1" applyAlignment="1" applyProtection="1">
      <alignment horizontal="center" vertical="center" wrapText="1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5" fillId="3" borderId="8" xfId="0" applyFont="1" applyFill="1" applyBorder="1" applyAlignment="1" applyProtection="1">
      <alignment horizontal="center" vertical="center" wrapText="1"/>
      <protection locked="0"/>
    </xf>
    <xf numFmtId="0" fontId="5" fillId="3" borderId="15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19" borderId="21" xfId="0" applyFont="1" applyFill="1" applyBorder="1" applyAlignment="1">
      <alignment horizontal="center" vertical="center"/>
    </xf>
    <xf numFmtId="0" fontId="1" fillId="19" borderId="17" xfId="0" applyFont="1" applyFill="1" applyBorder="1" applyAlignment="1">
      <alignment horizontal="center" vertical="center"/>
    </xf>
    <xf numFmtId="0" fontId="1" fillId="23" borderId="21" xfId="0" applyFont="1" applyFill="1" applyBorder="1" applyAlignment="1">
      <alignment horizontal="center" vertical="center"/>
    </xf>
    <xf numFmtId="0" fontId="1" fillId="23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22" borderId="21" xfId="0" applyFont="1" applyFill="1" applyBorder="1" applyAlignment="1">
      <alignment horizontal="center" vertical="center"/>
    </xf>
    <xf numFmtId="0" fontId="1" fillId="22" borderId="22" xfId="0" applyFont="1" applyFill="1" applyBorder="1" applyAlignment="1">
      <alignment horizontal="center" vertical="center"/>
    </xf>
    <xf numFmtId="0" fontId="1" fillId="22" borderId="17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0" borderId="21" xfId="0" applyFont="1" applyFill="1" applyBorder="1" applyAlignment="1">
      <alignment horizontal="center" vertical="center"/>
    </xf>
    <xf numFmtId="0" fontId="6" fillId="20" borderId="22" xfId="0" applyFont="1" applyFill="1" applyBorder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1" fillId="24" borderId="21" xfId="0" applyFont="1" applyFill="1" applyBorder="1" applyAlignment="1">
      <alignment horizontal="center" vertical="center"/>
    </xf>
    <xf numFmtId="0" fontId="1" fillId="24" borderId="22" xfId="0" applyFont="1" applyFill="1" applyBorder="1" applyAlignment="1">
      <alignment horizontal="center" vertical="center"/>
    </xf>
    <xf numFmtId="0" fontId="1" fillId="24" borderId="17" xfId="0" applyFont="1" applyFill="1" applyBorder="1" applyAlignment="1">
      <alignment horizontal="center" vertical="center"/>
    </xf>
    <xf numFmtId="0" fontId="1" fillId="23" borderId="22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6" fillId="21" borderId="21" xfId="0" applyFont="1" applyFill="1" applyBorder="1" applyAlignment="1">
      <alignment horizontal="center" vertical="center"/>
    </xf>
    <xf numFmtId="0" fontId="6" fillId="21" borderId="17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0" fontId="6" fillId="22" borderId="17" xfId="0" applyFont="1" applyFill="1" applyBorder="1" applyAlignment="1">
      <alignment horizontal="center" vertical="center"/>
    </xf>
    <xf numFmtId="0" fontId="6" fillId="22" borderId="22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15" fillId="12" borderId="21" xfId="0" applyFont="1" applyFill="1" applyBorder="1" applyAlignment="1">
      <alignment horizontal="center" vertical="center"/>
    </xf>
    <xf numFmtId="0" fontId="15" fillId="12" borderId="1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6" fillId="10" borderId="17" xfId="0" applyFont="1" applyFill="1" applyBorder="1" applyAlignment="1">
      <alignment horizontal="center" vertical="center"/>
    </xf>
    <xf numFmtId="0" fontId="6" fillId="15" borderId="21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center"/>
    </xf>
    <xf numFmtId="0" fontId="14" fillId="10" borderId="17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 vertical="center"/>
    </xf>
    <xf numFmtId="0" fontId="6" fillId="9" borderId="22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/>
    </xf>
    <xf numFmtId="0" fontId="6" fillId="8" borderId="22" xfId="0" applyFont="1" applyFill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6" fillId="24" borderId="21" xfId="0" applyFont="1" applyFill="1" applyBorder="1" applyAlignment="1">
      <alignment horizontal="center" vertical="center"/>
    </xf>
    <xf numFmtId="0" fontId="6" fillId="24" borderId="17" xfId="0" applyFont="1" applyFill="1" applyBorder="1" applyAlignment="1">
      <alignment horizontal="center" vertical="center"/>
    </xf>
    <xf numFmtId="0" fontId="6" fillId="17" borderId="21" xfId="0" applyFont="1" applyFill="1" applyBorder="1" applyAlignment="1">
      <alignment horizontal="center" vertical="center"/>
    </xf>
    <xf numFmtId="0" fontId="6" fillId="17" borderId="22" xfId="0" applyFont="1" applyFill="1" applyBorder="1" applyAlignment="1">
      <alignment horizontal="center" vertical="center"/>
    </xf>
    <xf numFmtId="0" fontId="6" fillId="1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6" fillId="29" borderId="21" xfId="0" applyFont="1" applyFill="1" applyBorder="1" applyAlignment="1">
      <alignment horizontal="center" vertical="center"/>
    </xf>
    <xf numFmtId="0" fontId="6" fillId="29" borderId="17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4" borderId="17" xfId="0" applyFont="1" applyFill="1" applyBorder="1" applyAlignment="1">
      <alignment horizontal="center" vertical="center"/>
    </xf>
    <xf numFmtId="0" fontId="6" fillId="27" borderId="21" xfId="0" applyFont="1" applyFill="1" applyBorder="1" applyAlignment="1">
      <alignment horizontal="center" vertical="center"/>
    </xf>
    <xf numFmtId="0" fontId="6" fillId="27" borderId="17" xfId="0" applyFont="1" applyFill="1" applyBorder="1" applyAlignment="1">
      <alignment horizontal="center" vertical="center"/>
    </xf>
    <xf numFmtId="0" fontId="6" fillId="27" borderId="22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17" xfId="0" applyFont="1" applyFill="1" applyBorder="1" applyAlignment="1">
      <alignment horizontal="center" vertical="center"/>
    </xf>
    <xf numFmtId="0" fontId="6" fillId="11" borderId="22" xfId="0" applyFont="1" applyFill="1" applyBorder="1" applyAlignment="1">
      <alignment horizontal="center" vertical="center"/>
    </xf>
    <xf numFmtId="0" fontId="6" fillId="28" borderId="21" xfId="0" applyFont="1" applyFill="1" applyBorder="1" applyAlignment="1">
      <alignment horizontal="center" vertical="center"/>
    </xf>
    <xf numFmtId="0" fontId="6" fillId="28" borderId="17" xfId="0" applyFont="1" applyFill="1" applyBorder="1" applyAlignment="1">
      <alignment horizontal="center" vertical="center"/>
    </xf>
    <xf numFmtId="0" fontId="6" fillId="16" borderId="21" xfId="0" applyFont="1" applyFill="1" applyBorder="1" applyAlignment="1">
      <alignment horizontal="center" vertical="center"/>
    </xf>
    <xf numFmtId="0" fontId="6" fillId="16" borderId="17" xfId="0" applyFont="1" applyFill="1" applyBorder="1" applyAlignment="1">
      <alignment horizontal="center" vertical="center"/>
    </xf>
    <xf numFmtId="0" fontId="6" fillId="18" borderId="21" xfId="0" applyFont="1" applyFill="1" applyBorder="1" applyAlignment="1">
      <alignment horizontal="center" vertical="center"/>
    </xf>
    <xf numFmtId="0" fontId="6" fillId="18" borderId="22" xfId="0" applyFont="1" applyFill="1" applyBorder="1" applyAlignment="1">
      <alignment horizontal="center" vertical="center"/>
    </xf>
    <xf numFmtId="0" fontId="6" fillId="18" borderId="17" xfId="0" applyFont="1" applyFill="1" applyBorder="1" applyAlignment="1">
      <alignment horizontal="center" vertical="center"/>
    </xf>
    <xf numFmtId="0" fontId="6" fillId="26" borderId="21" xfId="0" applyFont="1" applyFill="1" applyBorder="1" applyAlignment="1">
      <alignment horizontal="center" vertical="center"/>
    </xf>
    <xf numFmtId="0" fontId="6" fillId="26" borderId="17" xfId="0" applyFont="1" applyFill="1" applyBorder="1" applyAlignment="1">
      <alignment horizontal="center" vertical="center"/>
    </xf>
    <xf numFmtId="0" fontId="1" fillId="17" borderId="22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6" fillId="26" borderId="22" xfId="0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horizontal="center" vertical="center"/>
    </xf>
    <xf numFmtId="0" fontId="6" fillId="19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 wrapText="1"/>
    </xf>
    <xf numFmtId="0" fontId="6" fillId="0" borderId="22" xfId="0" applyFont="1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CCCC"/>
      <color rgb="FF993366"/>
      <color rgb="FF0000CC"/>
      <color rgb="FFCC66FF"/>
      <color rgb="FFFFFF99"/>
      <color rgb="FF66FFCC"/>
      <color rgb="FF9900FF"/>
      <color rgb="FF00FF99"/>
      <color rgb="FF996633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0</xdr:row>
          <xdr:rowOff>104775</xdr:rowOff>
        </xdr:from>
        <xdr:to>
          <xdr:col>13</xdr:col>
          <xdr:colOff>409575</xdr:colOff>
          <xdr:row>1</xdr:row>
          <xdr:rowOff>184698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398627</xdr:colOff>
          <xdr:row>0</xdr:row>
          <xdr:rowOff>119555</xdr:rowOff>
        </xdr:from>
        <xdr:to>
          <xdr:col>12</xdr:col>
          <xdr:colOff>208018</xdr:colOff>
          <xdr:row>1</xdr:row>
          <xdr:rowOff>164224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J28"/>
  <sheetViews>
    <sheetView zoomScaleNormal="100" zoomScaleSheetLayoutView="86" workbookViewId="0">
      <selection activeCell="C15" sqref="C15"/>
    </sheetView>
  </sheetViews>
  <sheetFormatPr baseColWidth="10" defaultColWidth="11.5703125" defaultRowHeight="15" x14ac:dyDescent="0.25"/>
  <cols>
    <col min="1" max="1" width="6.42578125" style="1" customWidth="1"/>
    <col min="2" max="2" width="18.140625" style="1" customWidth="1"/>
    <col min="3" max="3" width="21.7109375" style="1" bestFit="1" customWidth="1"/>
    <col min="4" max="4" width="31" style="1" customWidth="1"/>
    <col min="5" max="5" width="13.85546875" style="1" customWidth="1"/>
    <col min="6" max="6" width="14.42578125" style="1" customWidth="1"/>
    <col min="7" max="7" width="10" style="1" customWidth="1"/>
    <col min="8" max="8" width="18.5703125" style="1" bestFit="1" customWidth="1"/>
    <col min="9" max="9" width="19.5703125" style="1" bestFit="1" customWidth="1"/>
    <col min="10" max="10" width="14.5703125" style="1" bestFit="1" customWidth="1"/>
    <col min="11" max="16384" width="11.5703125" style="1"/>
  </cols>
  <sheetData>
    <row r="2" spans="1:10" ht="27" thickBot="1" x14ac:dyDescent="0.45">
      <c r="H2" s="30" t="s">
        <v>441</v>
      </c>
      <c r="I2" s="30" t="s">
        <v>472</v>
      </c>
    </row>
    <row r="3" spans="1:10" ht="14.45" customHeight="1" x14ac:dyDescent="0.25">
      <c r="A3" s="407" t="s">
        <v>96</v>
      </c>
      <c r="B3" s="408"/>
      <c r="C3" s="408"/>
      <c r="D3" s="408"/>
      <c r="E3" s="408"/>
      <c r="F3" s="408"/>
      <c r="G3" s="408"/>
      <c r="H3" s="408"/>
      <c r="I3" s="408"/>
      <c r="J3" s="409"/>
    </row>
    <row r="4" spans="1:10" ht="14.45" customHeight="1" x14ac:dyDescent="0.25">
      <c r="A4" s="410"/>
      <c r="B4" s="411"/>
      <c r="C4" s="411"/>
      <c r="D4" s="411"/>
      <c r="E4" s="411"/>
      <c r="F4" s="411"/>
      <c r="G4" s="411"/>
      <c r="H4" s="411"/>
      <c r="I4" s="411"/>
      <c r="J4" s="412"/>
    </row>
    <row r="5" spans="1:10" x14ac:dyDescent="0.25">
      <c r="A5" s="410"/>
      <c r="B5" s="411"/>
      <c r="C5" s="411"/>
      <c r="D5" s="411"/>
      <c r="E5" s="411"/>
      <c r="F5" s="411"/>
      <c r="G5" s="411"/>
      <c r="H5" s="411"/>
      <c r="I5" s="411"/>
      <c r="J5" s="412"/>
    </row>
    <row r="6" spans="1:10" ht="15.75" thickBot="1" x14ac:dyDescent="0.3">
      <c r="A6" s="413"/>
      <c r="B6" s="414"/>
      <c r="C6" s="414"/>
      <c r="D6" s="414"/>
      <c r="E6" s="414"/>
      <c r="F6" s="414"/>
      <c r="G6" s="414"/>
      <c r="H6" s="414"/>
      <c r="I6" s="414"/>
      <c r="J6" s="415"/>
    </row>
    <row r="7" spans="1:10" x14ac:dyDescent="0.25">
      <c r="A7" s="404" t="s">
        <v>8</v>
      </c>
      <c r="B7" s="11" t="s">
        <v>0</v>
      </c>
      <c r="C7" s="29">
        <v>43382</v>
      </c>
      <c r="D7" s="11" t="s">
        <v>4</v>
      </c>
      <c r="E7" s="12" t="s">
        <v>82</v>
      </c>
      <c r="F7" s="12"/>
      <c r="G7" s="12"/>
      <c r="H7" s="12"/>
      <c r="I7" s="13"/>
      <c r="J7" s="14"/>
    </row>
    <row r="8" spans="1:10" x14ac:dyDescent="0.25">
      <c r="A8" s="405"/>
      <c r="B8" s="15" t="s">
        <v>1</v>
      </c>
      <c r="C8" s="16"/>
      <c r="D8" s="17"/>
      <c r="E8" s="15" t="s">
        <v>5</v>
      </c>
      <c r="F8" s="25" t="s">
        <v>82</v>
      </c>
      <c r="G8" s="23"/>
      <c r="H8" s="18"/>
      <c r="I8" s="17"/>
      <c r="J8" s="19"/>
    </row>
    <row r="9" spans="1:10" ht="51" x14ac:dyDescent="0.25">
      <c r="A9" s="406"/>
      <c r="B9" s="28" t="s">
        <v>2</v>
      </c>
      <c r="C9" s="28" t="s">
        <v>3</v>
      </c>
      <c r="D9" s="28" t="s">
        <v>13</v>
      </c>
      <c r="E9" s="28" t="s">
        <v>14</v>
      </c>
      <c r="F9" s="28" t="s">
        <v>20</v>
      </c>
      <c r="G9" s="28" t="s">
        <v>19</v>
      </c>
      <c r="H9" s="28" t="s">
        <v>18</v>
      </c>
      <c r="I9" s="28" t="s">
        <v>21</v>
      </c>
      <c r="J9" s="175" t="s">
        <v>9</v>
      </c>
    </row>
    <row r="10" spans="1:10" x14ac:dyDescent="0.25">
      <c r="A10" s="174"/>
      <c r="B10" s="174"/>
      <c r="C10" s="387"/>
      <c r="D10" s="174"/>
      <c r="E10" s="174"/>
      <c r="F10" s="174"/>
      <c r="G10" s="174"/>
      <c r="H10" s="174"/>
      <c r="I10" s="174"/>
      <c r="J10" s="4" t="e">
        <f>+(H10/$H$21)*10</f>
        <v>#DIV/0!</v>
      </c>
    </row>
    <row r="11" spans="1:10" x14ac:dyDescent="0.25">
      <c r="A11" s="174"/>
      <c r="B11" s="174"/>
      <c r="C11" s="387"/>
      <c r="D11" s="174"/>
      <c r="E11" s="174"/>
      <c r="F11" s="174"/>
      <c r="G11" s="174"/>
      <c r="H11" s="174"/>
      <c r="I11" s="174"/>
      <c r="J11" s="4" t="e">
        <f>+(H11/$H$21)*10</f>
        <v>#DIV/0!</v>
      </c>
    </row>
    <row r="12" spans="1:10" x14ac:dyDescent="0.25">
      <c r="A12" s="174"/>
      <c r="B12" s="174"/>
      <c r="C12" s="174"/>
      <c r="D12" s="174"/>
      <c r="E12" s="174"/>
      <c r="F12" s="174"/>
      <c r="G12" s="174"/>
      <c r="H12" s="174"/>
      <c r="I12" s="174"/>
      <c r="J12" s="4" t="e">
        <f t="shared" ref="J12:J20" si="0">+(H12/$H$21)*10</f>
        <v>#DIV/0!</v>
      </c>
    </row>
    <row r="13" spans="1:10" x14ac:dyDescent="0.25">
      <c r="A13" s="174"/>
      <c r="B13" s="174"/>
      <c r="C13" s="174"/>
      <c r="D13" s="174"/>
      <c r="E13" s="174"/>
      <c r="F13" s="174"/>
      <c r="G13" s="174"/>
      <c r="H13" s="174"/>
      <c r="I13" s="174"/>
      <c r="J13" s="4" t="e">
        <f t="shared" si="0"/>
        <v>#DIV/0!</v>
      </c>
    </row>
    <row r="14" spans="1:10" x14ac:dyDescent="0.25">
      <c r="A14" s="20"/>
      <c r="B14" s="8"/>
      <c r="C14" s="9"/>
      <c r="D14" s="9"/>
      <c r="E14" s="9"/>
      <c r="F14" s="9"/>
      <c r="G14" s="9"/>
      <c r="H14" s="9"/>
      <c r="I14" s="9"/>
      <c r="J14" s="4" t="e">
        <f t="shared" si="0"/>
        <v>#DIV/0!</v>
      </c>
    </row>
    <row r="15" spans="1:10" x14ac:dyDescent="0.25">
      <c r="A15" s="20"/>
      <c r="B15" s="8"/>
      <c r="C15" s="9"/>
      <c r="D15" s="9"/>
      <c r="E15" s="9"/>
      <c r="F15" s="9"/>
      <c r="G15" s="9"/>
      <c r="H15" s="9"/>
      <c r="I15" s="9"/>
      <c r="J15" s="4" t="e">
        <f t="shared" si="0"/>
        <v>#DIV/0!</v>
      </c>
    </row>
    <row r="16" spans="1:10" x14ac:dyDescent="0.25">
      <c r="A16" s="20"/>
      <c r="B16" s="8"/>
      <c r="C16" s="9"/>
      <c r="D16" s="9"/>
      <c r="E16" s="9"/>
      <c r="F16" s="9"/>
      <c r="G16" s="9"/>
      <c r="H16" s="9"/>
      <c r="I16" s="9"/>
      <c r="J16" s="4" t="e">
        <f t="shared" si="0"/>
        <v>#DIV/0!</v>
      </c>
    </row>
    <row r="17" spans="1:10" x14ac:dyDescent="0.25">
      <c r="A17" s="20"/>
      <c r="B17" s="8"/>
      <c r="C17" s="9"/>
      <c r="D17" s="9"/>
      <c r="E17" s="9"/>
      <c r="F17" s="9"/>
      <c r="G17" s="9"/>
      <c r="H17" s="9"/>
      <c r="I17" s="9"/>
      <c r="J17" s="4" t="e">
        <f t="shared" si="0"/>
        <v>#DIV/0!</v>
      </c>
    </row>
    <row r="18" spans="1:10" x14ac:dyDescent="0.25">
      <c r="A18" s="20"/>
      <c r="B18" s="8"/>
      <c r="C18" s="9"/>
      <c r="D18" s="9"/>
      <c r="E18" s="9"/>
      <c r="F18" s="9"/>
      <c r="G18" s="9"/>
      <c r="H18" s="9"/>
      <c r="I18" s="9"/>
      <c r="J18" s="4" t="e">
        <f t="shared" si="0"/>
        <v>#DIV/0!</v>
      </c>
    </row>
    <row r="19" spans="1:10" x14ac:dyDescent="0.25">
      <c r="A19" s="20"/>
      <c r="B19" s="8"/>
      <c r="C19" s="9"/>
      <c r="D19" s="9"/>
      <c r="E19" s="9"/>
      <c r="F19" s="9"/>
      <c r="G19" s="9"/>
      <c r="H19" s="9"/>
      <c r="I19" s="9"/>
      <c r="J19" s="4" t="e">
        <f t="shared" si="0"/>
        <v>#DIV/0!</v>
      </c>
    </row>
    <row r="20" spans="1:10" x14ac:dyDescent="0.25">
      <c r="A20" s="20"/>
      <c r="B20" s="8"/>
      <c r="C20" s="9"/>
      <c r="D20" s="9"/>
      <c r="E20" s="9"/>
      <c r="F20" s="9"/>
      <c r="G20" s="9"/>
      <c r="H20" s="9"/>
      <c r="I20" s="9"/>
      <c r="J20" s="4" t="e">
        <f t="shared" si="0"/>
        <v>#DIV/0!</v>
      </c>
    </row>
    <row r="21" spans="1:10" ht="15.75" x14ac:dyDescent="0.25">
      <c r="A21" s="3"/>
      <c r="B21" s="398" t="s">
        <v>6</v>
      </c>
      <c r="C21" s="399"/>
      <c r="D21" s="399"/>
      <c r="E21" s="400"/>
      <c r="F21" s="21">
        <f>SUM(F10:F13)</f>
        <v>0</v>
      </c>
      <c r="G21" s="22">
        <f>SUM(G10:G13)</f>
        <v>0</v>
      </c>
      <c r="H21" s="27">
        <f>SUM(H10:H20)</f>
        <v>0</v>
      </c>
      <c r="I21" s="27">
        <f>SUM(I10:I20)</f>
        <v>0</v>
      </c>
      <c r="J21" s="5"/>
    </row>
    <row r="22" spans="1:10" ht="15.75" thickBot="1" x14ac:dyDescent="0.3">
      <c r="A22" s="6"/>
      <c r="B22" s="401" t="s">
        <v>7</v>
      </c>
      <c r="C22" s="402"/>
      <c r="D22" s="402"/>
      <c r="E22" s="402"/>
      <c r="F22" s="402"/>
      <c r="G22" s="402"/>
      <c r="H22" s="402"/>
      <c r="I22" s="403"/>
      <c r="J22" s="7" t="e">
        <f>SUM(J10:J20)</f>
        <v>#DIV/0!</v>
      </c>
    </row>
    <row r="23" spans="1:10" x14ac:dyDescent="0.25">
      <c r="A23" s="2" t="s">
        <v>15</v>
      </c>
    </row>
    <row r="24" spans="1:10" x14ac:dyDescent="0.25">
      <c r="A24" s="10" t="s">
        <v>10</v>
      </c>
    </row>
    <row r="25" spans="1:10" x14ac:dyDescent="0.25">
      <c r="A25" s="2" t="s">
        <v>12</v>
      </c>
    </row>
    <row r="26" spans="1:10" x14ac:dyDescent="0.25">
      <c r="A26" s="2" t="s">
        <v>11</v>
      </c>
    </row>
    <row r="27" spans="1:10" x14ac:dyDescent="0.25">
      <c r="A27" s="2" t="s">
        <v>17</v>
      </c>
    </row>
    <row r="28" spans="1:10" x14ac:dyDescent="0.25">
      <c r="A28" s="2" t="s">
        <v>16</v>
      </c>
    </row>
  </sheetData>
  <customSheetViews>
    <customSheetView guid="{A4D20BDA-E945-417B-9766-11F57C67A2AF}" topLeftCell="A7">
      <selection activeCell="H9" sqref="H9:H16"/>
      <pageMargins left="0.7" right="0.7" top="0.75" bottom="0.75" header="0.3" footer="0.3"/>
      <pageSetup paperSize="9" orientation="portrait" horizontalDpi="0" verticalDpi="0" r:id="rId1"/>
    </customSheetView>
  </customSheetViews>
  <mergeCells count="4">
    <mergeCell ref="B21:E21"/>
    <mergeCell ref="B22:I22"/>
    <mergeCell ref="A7:A9"/>
    <mergeCell ref="A3:J6"/>
  </mergeCells>
  <pageMargins left="0.17" right="0.17" top="0.75" bottom="0.75" header="0.3" footer="0.3"/>
  <pageSetup paperSize="9" scale="85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GE713"/>
  <sheetViews>
    <sheetView tabSelected="1" zoomScale="87" zoomScaleNormal="87" workbookViewId="0">
      <pane ySplit="3" topLeftCell="A695" activePane="bottomLeft" state="frozen"/>
      <selection pane="bottomLeft" activeCell="H707" sqref="H707:H709"/>
    </sheetView>
  </sheetViews>
  <sheetFormatPr baseColWidth="10" defaultRowHeight="20.25" x14ac:dyDescent="0.25"/>
  <cols>
    <col min="1" max="1" width="12.85546875" style="390" customWidth="1"/>
    <col min="2" max="2" width="14.5703125" style="33" bestFit="1" customWidth="1"/>
    <col min="3" max="3" width="14.140625" style="32" bestFit="1" customWidth="1"/>
    <col min="4" max="4" width="17.7109375" style="32" bestFit="1" customWidth="1"/>
    <col min="5" max="5" width="14.42578125" style="32" customWidth="1"/>
    <col min="6" max="6" width="12.5703125" style="32" customWidth="1"/>
    <col min="7" max="7" width="11.85546875" style="32" customWidth="1"/>
    <col min="8" max="8" width="16.85546875" style="31" customWidth="1"/>
    <col min="9" max="9" width="10.7109375" style="32" customWidth="1"/>
    <col min="10" max="10" width="13.7109375" bestFit="1" customWidth="1"/>
    <col min="11" max="11" width="20.85546875" style="24" customWidth="1"/>
    <col min="12" max="12" width="23.140625" style="24" bestFit="1" customWidth="1"/>
    <col min="13" max="13" width="16.7109375" style="101" customWidth="1"/>
    <col min="14" max="14" width="40.5703125" style="121" customWidth="1"/>
    <col min="15" max="863" width="11.42578125" style="121"/>
  </cols>
  <sheetData>
    <row r="1" spans="1:863" x14ac:dyDescent="0.3">
      <c r="E1" s="389" t="s">
        <v>97</v>
      </c>
      <c r="F1" s="36"/>
      <c r="G1" s="36"/>
      <c r="H1" s="37"/>
      <c r="I1" s="34"/>
      <c r="J1" s="35"/>
      <c r="K1" s="78"/>
      <c r="M1" s="235"/>
    </row>
    <row r="2" spans="1:863" x14ac:dyDescent="0.25">
      <c r="M2" s="235"/>
    </row>
    <row r="3" spans="1:863" s="39" customFormat="1" ht="16.5" thickBot="1" x14ac:dyDescent="0.3">
      <c r="A3" s="201" t="s">
        <v>22</v>
      </c>
      <c r="B3" s="201" t="s">
        <v>32</v>
      </c>
      <c r="C3" s="79" t="s">
        <v>25</v>
      </c>
      <c r="D3" s="79" t="s">
        <v>26</v>
      </c>
      <c r="E3" s="79" t="s">
        <v>23</v>
      </c>
      <c r="F3" s="79" t="s">
        <v>24</v>
      </c>
      <c r="G3" s="79" t="s">
        <v>27</v>
      </c>
      <c r="H3" s="79" t="s">
        <v>148</v>
      </c>
      <c r="I3" s="79" t="s">
        <v>28</v>
      </c>
      <c r="J3" s="79" t="s">
        <v>29</v>
      </c>
      <c r="K3" s="79" t="s">
        <v>77</v>
      </c>
      <c r="L3" s="227" t="s">
        <v>79</v>
      </c>
      <c r="M3" s="234" t="s">
        <v>433</v>
      </c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/>
      <c r="AU3" s="191"/>
      <c r="AV3" s="191"/>
      <c r="AW3" s="191"/>
      <c r="AX3" s="191"/>
      <c r="AY3" s="191"/>
      <c r="AZ3" s="191"/>
      <c r="BA3" s="191"/>
      <c r="BB3" s="191"/>
      <c r="BC3" s="191"/>
      <c r="BD3" s="191"/>
      <c r="BE3" s="191"/>
      <c r="BF3" s="191"/>
      <c r="BG3" s="191"/>
      <c r="BH3" s="191"/>
      <c r="BI3" s="191"/>
      <c r="BJ3" s="191"/>
      <c r="BK3" s="191"/>
      <c r="BL3" s="191"/>
      <c r="BM3" s="191"/>
      <c r="BN3" s="191"/>
      <c r="BO3" s="191"/>
      <c r="BP3" s="191"/>
      <c r="BQ3" s="191"/>
      <c r="BR3" s="191"/>
      <c r="BS3" s="191"/>
      <c r="BT3" s="191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191"/>
      <c r="CO3" s="191"/>
      <c r="CP3" s="191"/>
      <c r="CQ3" s="191"/>
      <c r="CR3" s="191"/>
      <c r="CS3" s="191"/>
      <c r="CT3" s="191"/>
      <c r="CU3" s="191"/>
      <c r="CV3" s="191"/>
      <c r="CW3" s="191"/>
      <c r="CX3" s="191"/>
      <c r="CY3" s="191"/>
      <c r="CZ3" s="191"/>
      <c r="DA3" s="191"/>
      <c r="DB3" s="191"/>
      <c r="DC3" s="191"/>
      <c r="DD3" s="191"/>
      <c r="DE3" s="191"/>
      <c r="DF3" s="191"/>
      <c r="DG3" s="191"/>
      <c r="DH3" s="191"/>
      <c r="DI3" s="191"/>
      <c r="DJ3" s="191"/>
      <c r="DK3" s="191"/>
      <c r="DL3" s="191"/>
      <c r="DM3" s="191"/>
      <c r="DN3" s="191"/>
      <c r="DO3" s="191"/>
      <c r="DP3" s="191"/>
      <c r="DQ3" s="191"/>
      <c r="DR3" s="191"/>
      <c r="DS3" s="191"/>
      <c r="DT3" s="191"/>
      <c r="DU3" s="191"/>
      <c r="DV3" s="191"/>
      <c r="DW3" s="191"/>
      <c r="DX3" s="191"/>
      <c r="DY3" s="191"/>
      <c r="DZ3" s="191"/>
      <c r="EA3" s="191"/>
      <c r="EB3" s="191"/>
      <c r="EC3" s="191"/>
      <c r="ED3" s="191"/>
      <c r="EE3" s="191"/>
      <c r="EF3" s="191"/>
      <c r="EG3" s="191"/>
      <c r="EH3" s="191"/>
      <c r="EI3" s="191"/>
      <c r="EJ3" s="191"/>
      <c r="EK3" s="191"/>
      <c r="EL3" s="191"/>
      <c r="EM3" s="191"/>
      <c r="EN3" s="191"/>
      <c r="EO3" s="191"/>
      <c r="EP3" s="191"/>
      <c r="EQ3" s="191"/>
      <c r="ER3" s="191"/>
      <c r="ES3" s="191"/>
      <c r="ET3" s="191"/>
      <c r="EU3" s="191"/>
      <c r="EV3" s="191"/>
      <c r="EW3" s="191"/>
      <c r="EX3" s="191"/>
      <c r="EY3" s="191"/>
      <c r="EZ3" s="191"/>
      <c r="FA3" s="191"/>
      <c r="FB3" s="191"/>
      <c r="FC3" s="191"/>
      <c r="FD3" s="191"/>
      <c r="FE3" s="191"/>
      <c r="FF3" s="191"/>
      <c r="FG3" s="191"/>
      <c r="FH3" s="191"/>
      <c r="FI3" s="191"/>
      <c r="FJ3" s="191"/>
      <c r="FK3" s="191"/>
      <c r="FL3" s="191"/>
      <c r="FM3" s="191"/>
      <c r="FN3" s="191"/>
      <c r="FO3" s="191"/>
      <c r="FP3" s="191"/>
      <c r="FQ3" s="191"/>
      <c r="FR3" s="191"/>
      <c r="FS3" s="191"/>
      <c r="FT3" s="191"/>
      <c r="FU3" s="191"/>
      <c r="FV3" s="191"/>
      <c r="FW3" s="191"/>
      <c r="FX3" s="191"/>
      <c r="FY3" s="191"/>
      <c r="FZ3" s="191"/>
      <c r="GA3" s="191"/>
      <c r="GB3" s="191"/>
      <c r="GC3" s="191"/>
      <c r="GD3" s="191"/>
      <c r="GE3" s="191"/>
      <c r="GF3" s="191"/>
      <c r="GG3" s="191"/>
      <c r="GH3" s="191"/>
      <c r="GI3" s="191"/>
      <c r="GJ3" s="191"/>
      <c r="GK3" s="191"/>
      <c r="GL3" s="191"/>
      <c r="GM3" s="191"/>
      <c r="GN3" s="191"/>
      <c r="GO3" s="191"/>
      <c r="GP3" s="191"/>
      <c r="GQ3" s="191"/>
      <c r="GR3" s="191"/>
      <c r="GS3" s="191"/>
      <c r="GT3" s="191"/>
      <c r="GU3" s="191"/>
      <c r="GV3" s="191"/>
      <c r="GW3" s="191"/>
      <c r="GX3" s="191"/>
      <c r="GY3" s="191"/>
      <c r="GZ3" s="191"/>
      <c r="HA3" s="191"/>
      <c r="HB3" s="191"/>
      <c r="HC3" s="191"/>
      <c r="HD3" s="191"/>
      <c r="HE3" s="191"/>
      <c r="HF3" s="191"/>
      <c r="HG3" s="191"/>
      <c r="HH3" s="191"/>
      <c r="HI3" s="191"/>
      <c r="HJ3" s="191"/>
      <c r="HK3" s="191"/>
      <c r="HL3" s="191"/>
      <c r="HM3" s="191"/>
      <c r="HN3" s="191"/>
      <c r="HO3" s="191"/>
      <c r="HP3" s="191"/>
      <c r="HQ3" s="191"/>
      <c r="HR3" s="191"/>
      <c r="HS3" s="191"/>
      <c r="HT3" s="191"/>
      <c r="HU3" s="191"/>
      <c r="HV3" s="191"/>
      <c r="HW3" s="191"/>
      <c r="HX3" s="191"/>
      <c r="HY3" s="191"/>
      <c r="HZ3" s="191"/>
      <c r="IA3" s="191"/>
      <c r="IB3" s="191"/>
      <c r="IC3" s="191"/>
      <c r="ID3" s="191"/>
      <c r="IE3" s="191"/>
      <c r="IF3" s="191"/>
      <c r="IG3" s="191"/>
      <c r="IH3" s="191"/>
      <c r="II3" s="191"/>
      <c r="IJ3" s="191"/>
      <c r="IK3" s="191"/>
      <c r="IL3" s="191"/>
      <c r="IM3" s="191"/>
      <c r="IN3" s="191"/>
      <c r="IO3" s="191"/>
      <c r="IP3" s="191"/>
      <c r="IQ3" s="191"/>
      <c r="IR3" s="191"/>
      <c r="IS3" s="191"/>
      <c r="IT3" s="191"/>
      <c r="IU3" s="191"/>
      <c r="IV3" s="191"/>
      <c r="IW3" s="191"/>
      <c r="IX3" s="191"/>
      <c r="IY3" s="191"/>
      <c r="IZ3" s="191"/>
      <c r="JA3" s="191"/>
      <c r="JB3" s="191"/>
      <c r="JC3" s="191"/>
      <c r="JD3" s="191"/>
      <c r="JE3" s="191"/>
      <c r="JF3" s="191"/>
      <c r="JG3" s="191"/>
      <c r="JH3" s="191"/>
      <c r="JI3" s="191"/>
      <c r="JJ3" s="191"/>
      <c r="JK3" s="191"/>
      <c r="JL3" s="191"/>
      <c r="JM3" s="191"/>
      <c r="JN3" s="191"/>
      <c r="JO3" s="191"/>
      <c r="JP3" s="191"/>
      <c r="JQ3" s="191"/>
      <c r="JR3" s="191"/>
      <c r="JS3" s="191"/>
      <c r="JT3" s="191"/>
      <c r="JU3" s="191"/>
      <c r="JV3" s="191"/>
      <c r="JW3" s="191"/>
      <c r="JX3" s="191"/>
      <c r="JY3" s="191"/>
      <c r="JZ3" s="191"/>
      <c r="KA3" s="191"/>
      <c r="KB3" s="191"/>
      <c r="KC3" s="191"/>
      <c r="KD3" s="191"/>
      <c r="KE3" s="191"/>
      <c r="KF3" s="191"/>
      <c r="KG3" s="191"/>
      <c r="KH3" s="191"/>
      <c r="KI3" s="191"/>
      <c r="KJ3" s="191"/>
      <c r="KK3" s="191"/>
      <c r="KL3" s="191"/>
      <c r="KM3" s="191"/>
      <c r="KN3" s="191"/>
      <c r="KO3" s="191"/>
      <c r="KP3" s="191"/>
      <c r="KQ3" s="191"/>
      <c r="KR3" s="191"/>
      <c r="KS3" s="191"/>
      <c r="KT3" s="191"/>
      <c r="KU3" s="191"/>
      <c r="KV3" s="191"/>
      <c r="KW3" s="191"/>
      <c r="KX3" s="191"/>
      <c r="KY3" s="191"/>
      <c r="KZ3" s="191"/>
      <c r="LA3" s="191"/>
      <c r="LB3" s="191"/>
      <c r="LC3" s="191"/>
      <c r="LD3" s="191"/>
      <c r="LE3" s="191"/>
      <c r="LF3" s="191"/>
      <c r="LG3" s="191"/>
      <c r="LH3" s="191"/>
      <c r="LI3" s="191"/>
      <c r="LJ3" s="191"/>
      <c r="LK3" s="191"/>
      <c r="LL3" s="191"/>
      <c r="LM3" s="191"/>
      <c r="LN3" s="191"/>
      <c r="LO3" s="191"/>
      <c r="LP3" s="191"/>
      <c r="LQ3" s="191"/>
      <c r="LR3" s="191"/>
      <c r="LS3" s="191"/>
      <c r="LT3" s="191"/>
      <c r="LU3" s="191"/>
      <c r="LV3" s="191"/>
      <c r="LW3" s="191"/>
      <c r="LX3" s="191"/>
      <c r="LY3" s="191"/>
      <c r="LZ3" s="191"/>
      <c r="MA3" s="191"/>
      <c r="MB3" s="191"/>
      <c r="MC3" s="191"/>
      <c r="MD3" s="191"/>
      <c r="ME3" s="191"/>
      <c r="MF3" s="191"/>
      <c r="MG3" s="191"/>
      <c r="MH3" s="191"/>
      <c r="MI3" s="191"/>
      <c r="MJ3" s="191"/>
      <c r="MK3" s="191"/>
      <c r="ML3" s="191"/>
      <c r="MM3" s="191"/>
      <c r="MN3" s="191"/>
      <c r="MO3" s="191"/>
      <c r="MP3" s="191"/>
      <c r="MQ3" s="191"/>
      <c r="MR3" s="191"/>
      <c r="MS3" s="191"/>
      <c r="MT3" s="191"/>
      <c r="MU3" s="191"/>
      <c r="MV3" s="191"/>
      <c r="MW3" s="191"/>
      <c r="MX3" s="191"/>
      <c r="MY3" s="191"/>
      <c r="MZ3" s="191"/>
      <c r="NA3" s="191"/>
      <c r="NB3" s="191"/>
      <c r="NC3" s="191"/>
      <c r="ND3" s="191"/>
      <c r="NE3" s="191"/>
      <c r="NF3" s="191"/>
      <c r="NG3" s="191"/>
      <c r="NH3" s="191"/>
      <c r="NI3" s="191"/>
      <c r="NJ3" s="191"/>
      <c r="NK3" s="191"/>
      <c r="NL3" s="191"/>
      <c r="NM3" s="191"/>
      <c r="NN3" s="191"/>
      <c r="NO3" s="191"/>
      <c r="NP3" s="191"/>
      <c r="NQ3" s="191"/>
      <c r="NR3" s="191"/>
      <c r="NS3" s="191"/>
      <c r="NT3" s="191"/>
      <c r="NU3" s="191"/>
      <c r="NV3" s="191"/>
      <c r="NW3" s="191"/>
      <c r="NX3" s="191"/>
      <c r="NY3" s="191"/>
      <c r="NZ3" s="191"/>
      <c r="OA3" s="191"/>
      <c r="OB3" s="191"/>
      <c r="OC3" s="191"/>
      <c r="OD3" s="191"/>
      <c r="OE3" s="191"/>
      <c r="OF3" s="191"/>
      <c r="OG3" s="191"/>
      <c r="OH3" s="191"/>
      <c r="OI3" s="191"/>
      <c r="OJ3" s="191"/>
      <c r="OK3" s="191"/>
      <c r="OL3" s="191"/>
      <c r="OM3" s="191"/>
      <c r="ON3" s="191"/>
      <c r="OO3" s="191"/>
      <c r="OP3" s="191"/>
      <c r="OQ3" s="191"/>
      <c r="OR3" s="191"/>
      <c r="OS3" s="191"/>
      <c r="OT3" s="191"/>
      <c r="OU3" s="191"/>
      <c r="OV3" s="191"/>
      <c r="OW3" s="191"/>
      <c r="OX3" s="191"/>
      <c r="OY3" s="191"/>
      <c r="OZ3" s="191"/>
      <c r="PA3" s="191"/>
      <c r="PB3" s="191"/>
      <c r="PC3" s="191"/>
      <c r="PD3" s="191"/>
      <c r="PE3" s="191"/>
      <c r="PF3" s="191"/>
      <c r="PG3" s="191"/>
      <c r="PH3" s="191"/>
      <c r="PI3" s="191"/>
      <c r="PJ3" s="191"/>
      <c r="PK3" s="191"/>
      <c r="PL3" s="191"/>
      <c r="PM3" s="191"/>
      <c r="PN3" s="191"/>
      <c r="PO3" s="191"/>
      <c r="PP3" s="191"/>
      <c r="PQ3" s="191"/>
      <c r="PR3" s="191"/>
      <c r="PS3" s="191"/>
      <c r="PT3" s="191"/>
      <c r="PU3" s="191"/>
      <c r="PV3" s="191"/>
      <c r="PW3" s="191"/>
      <c r="PX3" s="191"/>
      <c r="PY3" s="191"/>
      <c r="PZ3" s="191"/>
      <c r="QA3" s="191"/>
      <c r="QB3" s="191"/>
      <c r="QC3" s="191"/>
      <c r="QD3" s="191"/>
      <c r="QE3" s="191"/>
      <c r="QF3" s="191"/>
      <c r="QG3" s="191"/>
      <c r="QH3" s="191"/>
      <c r="QI3" s="191"/>
      <c r="QJ3" s="191"/>
      <c r="QK3" s="191"/>
      <c r="QL3" s="191"/>
      <c r="QM3" s="191"/>
      <c r="QN3" s="191"/>
      <c r="QO3" s="191"/>
      <c r="QP3" s="191"/>
      <c r="QQ3" s="191"/>
      <c r="QR3" s="191"/>
      <c r="QS3" s="191"/>
      <c r="QT3" s="191"/>
      <c r="QU3" s="191"/>
      <c r="QV3" s="191"/>
      <c r="QW3" s="191"/>
      <c r="QX3" s="191"/>
      <c r="QY3" s="191"/>
      <c r="QZ3" s="191"/>
      <c r="RA3" s="191"/>
      <c r="RB3" s="191"/>
      <c r="RC3" s="191"/>
      <c r="RD3" s="191"/>
      <c r="RE3" s="191"/>
      <c r="RF3" s="191"/>
      <c r="RG3" s="191"/>
      <c r="RH3" s="191"/>
      <c r="RI3" s="191"/>
      <c r="RJ3" s="191"/>
      <c r="RK3" s="191"/>
      <c r="RL3" s="191"/>
      <c r="RM3" s="191"/>
      <c r="RN3" s="191"/>
      <c r="RO3" s="191"/>
      <c r="RP3" s="191"/>
      <c r="RQ3" s="191"/>
      <c r="RR3" s="191"/>
      <c r="RS3" s="191"/>
      <c r="RT3" s="191"/>
      <c r="RU3" s="191"/>
      <c r="RV3" s="191"/>
      <c r="RW3" s="191"/>
      <c r="RX3" s="191"/>
      <c r="RY3" s="191"/>
      <c r="RZ3" s="191"/>
      <c r="SA3" s="191"/>
      <c r="SB3" s="191"/>
      <c r="SC3" s="191"/>
      <c r="SD3" s="191"/>
      <c r="SE3" s="191"/>
      <c r="SF3" s="191"/>
      <c r="SG3" s="191"/>
      <c r="SH3" s="191"/>
      <c r="SI3" s="191"/>
      <c r="SJ3" s="191"/>
      <c r="SK3" s="191"/>
      <c r="SL3" s="191"/>
      <c r="SM3" s="191"/>
      <c r="SN3" s="191"/>
      <c r="SO3" s="191"/>
      <c r="SP3" s="191"/>
      <c r="SQ3" s="191"/>
      <c r="SR3" s="191"/>
      <c r="SS3" s="191"/>
      <c r="ST3" s="191"/>
      <c r="SU3" s="191"/>
      <c r="SV3" s="191"/>
      <c r="SW3" s="191"/>
      <c r="SX3" s="191"/>
      <c r="SY3" s="191"/>
      <c r="SZ3" s="191"/>
      <c r="TA3" s="191"/>
      <c r="TB3" s="191"/>
      <c r="TC3" s="191"/>
      <c r="TD3" s="191"/>
      <c r="TE3" s="191"/>
      <c r="TF3" s="191"/>
      <c r="TG3" s="191"/>
      <c r="TH3" s="191"/>
      <c r="TI3" s="191"/>
      <c r="TJ3" s="191"/>
      <c r="TK3" s="191"/>
      <c r="TL3" s="191"/>
      <c r="TM3" s="191"/>
      <c r="TN3" s="191"/>
      <c r="TO3" s="191"/>
      <c r="TP3" s="191"/>
      <c r="TQ3" s="191"/>
      <c r="TR3" s="191"/>
      <c r="TS3" s="191"/>
      <c r="TT3" s="191"/>
      <c r="TU3" s="191"/>
      <c r="TV3" s="191"/>
      <c r="TW3" s="191"/>
      <c r="TX3" s="191"/>
      <c r="TY3" s="191"/>
      <c r="TZ3" s="191"/>
      <c r="UA3" s="191"/>
      <c r="UB3" s="191"/>
      <c r="UC3" s="191"/>
      <c r="UD3" s="191"/>
      <c r="UE3" s="191"/>
      <c r="UF3" s="191"/>
      <c r="UG3" s="191"/>
      <c r="UH3" s="191"/>
      <c r="UI3" s="191"/>
      <c r="UJ3" s="191"/>
      <c r="UK3" s="191"/>
      <c r="UL3" s="191"/>
      <c r="UM3" s="191"/>
      <c r="UN3" s="191"/>
      <c r="UO3" s="191"/>
      <c r="UP3" s="191"/>
      <c r="UQ3" s="191"/>
      <c r="UR3" s="191"/>
      <c r="US3" s="191"/>
      <c r="UT3" s="191"/>
      <c r="UU3" s="191"/>
      <c r="UV3" s="191"/>
      <c r="UW3" s="191"/>
      <c r="UX3" s="191"/>
      <c r="UY3" s="191"/>
      <c r="UZ3" s="191"/>
      <c r="VA3" s="191"/>
      <c r="VB3" s="191"/>
      <c r="VC3" s="191"/>
      <c r="VD3" s="191"/>
      <c r="VE3" s="191"/>
      <c r="VF3" s="191"/>
      <c r="VG3" s="191"/>
      <c r="VH3" s="191"/>
      <c r="VI3" s="191"/>
      <c r="VJ3" s="191"/>
      <c r="VK3" s="191"/>
      <c r="VL3" s="191"/>
      <c r="VM3" s="191"/>
      <c r="VN3" s="191"/>
      <c r="VO3" s="191"/>
      <c r="VP3" s="191"/>
      <c r="VQ3" s="191"/>
      <c r="VR3" s="191"/>
      <c r="VS3" s="191"/>
      <c r="VT3" s="191"/>
      <c r="VU3" s="191"/>
      <c r="VV3" s="191"/>
      <c r="VW3" s="191"/>
      <c r="VX3" s="191"/>
      <c r="VY3" s="191"/>
      <c r="VZ3" s="191"/>
      <c r="WA3" s="191"/>
      <c r="WB3" s="191"/>
      <c r="WC3" s="191"/>
      <c r="WD3" s="191"/>
      <c r="WE3" s="191"/>
      <c r="WF3" s="191"/>
      <c r="WG3" s="191"/>
      <c r="WH3" s="191"/>
      <c r="WI3" s="191"/>
      <c r="WJ3" s="191"/>
      <c r="WK3" s="191"/>
      <c r="WL3" s="191"/>
      <c r="WM3" s="191"/>
      <c r="WN3" s="191"/>
      <c r="WO3" s="191"/>
      <c r="WP3" s="191"/>
      <c r="WQ3" s="191"/>
      <c r="WR3" s="191"/>
      <c r="WS3" s="191"/>
      <c r="WT3" s="191"/>
      <c r="WU3" s="191"/>
      <c r="WV3" s="191"/>
      <c r="WW3" s="191"/>
      <c r="WX3" s="191"/>
      <c r="WY3" s="191"/>
      <c r="WZ3" s="191"/>
      <c r="XA3" s="191"/>
      <c r="XB3" s="191"/>
      <c r="XC3" s="191"/>
      <c r="XD3" s="191"/>
      <c r="XE3" s="191"/>
      <c r="XF3" s="191"/>
      <c r="XG3" s="191"/>
      <c r="XH3" s="191"/>
      <c r="XI3" s="191"/>
      <c r="XJ3" s="191"/>
      <c r="XK3" s="191"/>
      <c r="XL3" s="191"/>
      <c r="XM3" s="191"/>
      <c r="XN3" s="191"/>
      <c r="XO3" s="191"/>
      <c r="XP3" s="191"/>
      <c r="XQ3" s="191"/>
      <c r="XR3" s="191"/>
      <c r="XS3" s="191"/>
      <c r="XT3" s="191"/>
      <c r="XU3" s="191"/>
      <c r="XV3" s="191"/>
      <c r="XW3" s="191"/>
      <c r="XX3" s="191"/>
      <c r="XY3" s="191"/>
      <c r="XZ3" s="191"/>
      <c r="YA3" s="191"/>
      <c r="YB3" s="191"/>
      <c r="YC3" s="191"/>
      <c r="YD3" s="191"/>
      <c r="YE3" s="191"/>
      <c r="YF3" s="191"/>
      <c r="YG3" s="191"/>
      <c r="YH3" s="191"/>
      <c r="YI3" s="191"/>
      <c r="YJ3" s="191"/>
      <c r="YK3" s="191"/>
      <c r="YL3" s="191"/>
      <c r="YM3" s="191"/>
      <c r="YN3" s="191"/>
      <c r="YO3" s="191"/>
      <c r="YP3" s="191"/>
      <c r="YQ3" s="191"/>
      <c r="YR3" s="191"/>
      <c r="YS3" s="191"/>
      <c r="YT3" s="191"/>
      <c r="YU3" s="191"/>
      <c r="YV3" s="191"/>
      <c r="YW3" s="191"/>
      <c r="YX3" s="191"/>
      <c r="YY3" s="191"/>
      <c r="YZ3" s="191"/>
      <c r="ZA3" s="191"/>
      <c r="ZB3" s="191"/>
      <c r="ZC3" s="191"/>
      <c r="ZD3" s="191"/>
      <c r="ZE3" s="191"/>
      <c r="ZF3" s="191"/>
      <c r="ZG3" s="191"/>
      <c r="ZH3" s="191"/>
      <c r="ZI3" s="191"/>
      <c r="ZJ3" s="191"/>
      <c r="ZK3" s="191"/>
      <c r="ZL3" s="191"/>
      <c r="ZM3" s="191"/>
      <c r="ZN3" s="191"/>
      <c r="ZO3" s="191"/>
      <c r="ZP3" s="191"/>
      <c r="ZQ3" s="191"/>
      <c r="ZR3" s="191"/>
      <c r="ZS3" s="191"/>
      <c r="ZT3" s="191"/>
      <c r="ZU3" s="191"/>
      <c r="ZV3" s="191"/>
      <c r="ZW3" s="191"/>
      <c r="ZX3" s="191"/>
      <c r="ZY3" s="191"/>
      <c r="ZZ3" s="191"/>
      <c r="AAA3" s="191"/>
      <c r="AAB3" s="191"/>
      <c r="AAC3" s="191"/>
      <c r="AAD3" s="191"/>
      <c r="AAE3" s="191"/>
      <c r="AAF3" s="191"/>
      <c r="AAG3" s="191"/>
      <c r="AAH3" s="191"/>
      <c r="AAI3" s="191"/>
      <c r="AAJ3" s="191"/>
      <c r="AAK3" s="191"/>
      <c r="AAL3" s="191"/>
      <c r="AAM3" s="191"/>
      <c r="AAN3" s="191"/>
      <c r="AAO3" s="191"/>
      <c r="AAP3" s="191"/>
      <c r="AAQ3" s="191"/>
      <c r="AAR3" s="191"/>
      <c r="AAS3" s="191"/>
      <c r="AAT3" s="191"/>
      <c r="AAU3" s="191"/>
      <c r="AAV3" s="191"/>
      <c r="AAW3" s="191"/>
      <c r="AAX3" s="191"/>
      <c r="AAY3" s="191"/>
      <c r="AAZ3" s="191"/>
      <c r="ABA3" s="191"/>
      <c r="ABB3" s="191"/>
      <c r="ABC3" s="191"/>
      <c r="ABD3" s="191"/>
      <c r="ABE3" s="191"/>
      <c r="ABF3" s="191"/>
      <c r="ABG3" s="191"/>
      <c r="ABH3" s="191"/>
      <c r="ABI3" s="191"/>
      <c r="ABJ3" s="191"/>
      <c r="ABK3" s="191"/>
      <c r="ABL3" s="191"/>
      <c r="ABM3" s="191"/>
      <c r="ABN3" s="191"/>
      <c r="ABO3" s="191"/>
      <c r="ABP3" s="191"/>
      <c r="ABQ3" s="191"/>
      <c r="ABR3" s="191"/>
      <c r="ABS3" s="191"/>
      <c r="ABT3" s="191"/>
      <c r="ABU3" s="191"/>
      <c r="ABV3" s="191"/>
      <c r="ABW3" s="191"/>
      <c r="ABX3" s="191"/>
      <c r="ABY3" s="191"/>
      <c r="ABZ3" s="191"/>
      <c r="ACA3" s="191"/>
      <c r="ACB3" s="191"/>
      <c r="ACC3" s="191"/>
      <c r="ACD3" s="191"/>
      <c r="ACE3" s="191"/>
      <c r="ACF3" s="191"/>
      <c r="ACG3" s="191"/>
      <c r="ACH3" s="191"/>
      <c r="ACI3" s="191"/>
      <c r="ACJ3" s="191"/>
      <c r="ACK3" s="191"/>
      <c r="ACL3" s="191"/>
      <c r="ACM3" s="191"/>
      <c r="ACN3" s="191"/>
      <c r="ACO3" s="191"/>
      <c r="ACP3" s="191"/>
      <c r="ACQ3" s="191"/>
      <c r="ACR3" s="191"/>
      <c r="ACS3" s="191"/>
      <c r="ACT3" s="191"/>
      <c r="ACU3" s="191"/>
      <c r="ACV3" s="191"/>
      <c r="ACW3" s="191"/>
      <c r="ACX3" s="191"/>
      <c r="ACY3" s="191"/>
      <c r="ACZ3" s="191"/>
      <c r="ADA3" s="191"/>
      <c r="ADB3" s="191"/>
      <c r="ADC3" s="191"/>
      <c r="ADD3" s="191"/>
      <c r="ADE3" s="191"/>
      <c r="ADF3" s="191"/>
      <c r="ADG3" s="191"/>
      <c r="ADH3" s="191"/>
      <c r="ADI3" s="191"/>
      <c r="ADJ3" s="191"/>
      <c r="ADK3" s="191"/>
      <c r="ADL3" s="191"/>
      <c r="ADM3" s="191"/>
      <c r="ADN3" s="191"/>
      <c r="ADO3" s="191"/>
      <c r="ADP3" s="191"/>
      <c r="ADQ3" s="191"/>
      <c r="ADR3" s="191"/>
      <c r="ADS3" s="191"/>
      <c r="ADT3" s="191"/>
      <c r="ADU3" s="191"/>
      <c r="ADV3" s="191"/>
      <c r="ADW3" s="191"/>
      <c r="ADX3" s="191"/>
      <c r="ADY3" s="191"/>
      <c r="ADZ3" s="191"/>
      <c r="AEA3" s="191"/>
      <c r="AEB3" s="191"/>
      <c r="AEC3" s="191"/>
      <c r="AED3" s="191"/>
      <c r="AEE3" s="191"/>
      <c r="AEF3" s="191"/>
      <c r="AEG3" s="191"/>
      <c r="AEH3" s="191"/>
      <c r="AEI3" s="191"/>
      <c r="AEJ3" s="191"/>
      <c r="AEK3" s="191"/>
      <c r="AEL3" s="191"/>
      <c r="AEM3" s="191"/>
      <c r="AEN3" s="191"/>
      <c r="AEO3" s="191"/>
      <c r="AEP3" s="191"/>
      <c r="AEQ3" s="191"/>
      <c r="AER3" s="191"/>
      <c r="AES3" s="191"/>
      <c r="AET3" s="191"/>
      <c r="AEU3" s="191"/>
      <c r="AEV3" s="191"/>
      <c r="AEW3" s="191"/>
      <c r="AEX3" s="191"/>
      <c r="AEY3" s="191"/>
      <c r="AEZ3" s="191"/>
      <c r="AFA3" s="191"/>
      <c r="AFB3" s="191"/>
      <c r="AFC3" s="191"/>
      <c r="AFD3" s="191"/>
      <c r="AFE3" s="191"/>
      <c r="AFF3" s="191"/>
      <c r="AFG3" s="191"/>
      <c r="AFH3" s="191"/>
      <c r="AFI3" s="191"/>
      <c r="AFJ3" s="191"/>
      <c r="AFK3" s="191"/>
      <c r="AFL3" s="191"/>
      <c r="AFM3" s="191"/>
      <c r="AFN3" s="191"/>
      <c r="AFO3" s="191"/>
      <c r="AFP3" s="191"/>
      <c r="AFQ3" s="191"/>
      <c r="AFR3" s="191"/>
      <c r="AFS3" s="191"/>
      <c r="AFT3" s="191"/>
      <c r="AFU3" s="191"/>
      <c r="AFV3" s="191"/>
      <c r="AFW3" s="191"/>
      <c r="AFX3" s="191"/>
      <c r="AFY3" s="191"/>
      <c r="AFZ3" s="191"/>
      <c r="AGA3" s="191"/>
      <c r="AGB3" s="191"/>
      <c r="AGC3" s="191"/>
      <c r="AGD3" s="191"/>
      <c r="AGE3" s="191"/>
    </row>
    <row r="4" spans="1:863" ht="15.75" customHeight="1" x14ac:dyDescent="0.25">
      <c r="A4" s="390">
        <v>43368</v>
      </c>
      <c r="B4" s="165" t="s">
        <v>33</v>
      </c>
      <c r="C4" s="166" t="s">
        <v>31</v>
      </c>
      <c r="D4" s="166" t="s">
        <v>30</v>
      </c>
      <c r="E4" s="166" t="s">
        <v>81</v>
      </c>
      <c r="F4" s="166">
        <v>83</v>
      </c>
      <c r="G4" s="166">
        <v>288</v>
      </c>
      <c r="H4" s="167">
        <v>2450</v>
      </c>
      <c r="I4" s="166">
        <v>2450</v>
      </c>
      <c r="J4" s="461">
        <f>SUM(H4:H10)</f>
        <v>20530</v>
      </c>
      <c r="K4" s="317" t="s">
        <v>78</v>
      </c>
      <c r="L4" s="317" t="s">
        <v>80</v>
      </c>
      <c r="M4" s="239"/>
    </row>
    <row r="5" spans="1:863" ht="15" customHeight="1" x14ac:dyDescent="0.25">
      <c r="A5" s="390">
        <v>43368</v>
      </c>
      <c r="B5" s="42" t="s">
        <v>34</v>
      </c>
      <c r="C5" s="43" t="s">
        <v>31</v>
      </c>
      <c r="D5" s="43" t="s">
        <v>30</v>
      </c>
      <c r="E5" s="43" t="s">
        <v>81</v>
      </c>
      <c r="F5" s="43">
        <v>83</v>
      </c>
      <c r="G5" s="43">
        <v>260</v>
      </c>
      <c r="H5" s="40">
        <v>3180</v>
      </c>
      <c r="I5" s="43">
        <v>3180</v>
      </c>
      <c r="J5" s="462"/>
      <c r="K5" s="317" t="s">
        <v>78</v>
      </c>
      <c r="L5" s="317" t="s">
        <v>80</v>
      </c>
      <c r="M5" s="239"/>
    </row>
    <row r="6" spans="1:863" ht="15" customHeight="1" x14ac:dyDescent="0.25">
      <c r="A6" s="390">
        <v>43368</v>
      </c>
      <c r="B6" s="42" t="s">
        <v>35</v>
      </c>
      <c r="C6" s="43" t="s">
        <v>31</v>
      </c>
      <c r="D6" s="43" t="s">
        <v>30</v>
      </c>
      <c r="E6" s="43" t="s">
        <v>81</v>
      </c>
      <c r="F6" s="43">
        <v>83</v>
      </c>
      <c r="G6" s="43">
        <v>288</v>
      </c>
      <c r="H6" s="40">
        <v>3170</v>
      </c>
      <c r="I6" s="43">
        <v>3170</v>
      </c>
      <c r="J6" s="462"/>
      <c r="K6" s="317" t="s">
        <v>78</v>
      </c>
      <c r="L6" s="317" t="s">
        <v>80</v>
      </c>
      <c r="M6" s="239"/>
    </row>
    <row r="7" spans="1:863" ht="15" customHeight="1" x14ac:dyDescent="0.25">
      <c r="A7" s="390">
        <v>43368</v>
      </c>
      <c r="B7" s="42" t="s">
        <v>36</v>
      </c>
      <c r="C7" s="43" t="s">
        <v>31</v>
      </c>
      <c r="D7" s="43" t="s">
        <v>30</v>
      </c>
      <c r="E7" s="43" t="s">
        <v>81</v>
      </c>
      <c r="F7" s="43">
        <v>83</v>
      </c>
      <c r="G7" s="43">
        <v>360</v>
      </c>
      <c r="H7" s="40">
        <v>2630</v>
      </c>
      <c r="I7" s="43">
        <v>2630</v>
      </c>
      <c r="J7" s="462"/>
      <c r="K7" s="317" t="s">
        <v>78</v>
      </c>
      <c r="L7" s="317" t="s">
        <v>80</v>
      </c>
      <c r="M7" s="239"/>
    </row>
    <row r="8" spans="1:863" ht="15" customHeight="1" x14ac:dyDescent="0.25">
      <c r="A8" s="390">
        <v>43368</v>
      </c>
      <c r="B8" s="42" t="s">
        <v>37</v>
      </c>
      <c r="C8" s="43" t="s">
        <v>31</v>
      </c>
      <c r="D8" s="43" t="s">
        <v>30</v>
      </c>
      <c r="E8" s="43" t="s">
        <v>81</v>
      </c>
      <c r="F8" s="43">
        <v>83</v>
      </c>
      <c r="G8" s="43">
        <v>360</v>
      </c>
      <c r="H8" s="40">
        <v>3240</v>
      </c>
      <c r="I8" s="43">
        <v>3240</v>
      </c>
      <c r="J8" s="462"/>
      <c r="K8" s="317" t="s">
        <v>78</v>
      </c>
      <c r="L8" s="317" t="s">
        <v>80</v>
      </c>
      <c r="M8" s="239"/>
    </row>
    <row r="9" spans="1:863" ht="15" customHeight="1" x14ac:dyDescent="0.25">
      <c r="A9" s="390">
        <v>43368</v>
      </c>
      <c r="B9" s="42" t="s">
        <v>38</v>
      </c>
      <c r="C9" s="43" t="s">
        <v>31</v>
      </c>
      <c r="D9" s="43" t="s">
        <v>30</v>
      </c>
      <c r="E9" s="43" t="s">
        <v>81</v>
      </c>
      <c r="F9" s="43">
        <v>83</v>
      </c>
      <c r="G9" s="43">
        <v>360</v>
      </c>
      <c r="H9" s="40">
        <v>3240</v>
      </c>
      <c r="I9" s="43">
        <v>3240</v>
      </c>
      <c r="J9" s="462"/>
      <c r="K9" s="317" t="s">
        <v>78</v>
      </c>
      <c r="L9" s="317" t="s">
        <v>80</v>
      </c>
      <c r="M9" s="239"/>
    </row>
    <row r="10" spans="1:863" ht="15" customHeight="1" x14ac:dyDescent="0.25">
      <c r="A10" s="390">
        <v>43368</v>
      </c>
      <c r="B10" s="42" t="s">
        <v>39</v>
      </c>
      <c r="C10" s="43" t="s">
        <v>31</v>
      </c>
      <c r="D10" s="43" t="s">
        <v>30</v>
      </c>
      <c r="E10" s="43" t="s">
        <v>81</v>
      </c>
      <c r="F10" s="43">
        <v>83</v>
      </c>
      <c r="G10" s="43">
        <v>288</v>
      </c>
      <c r="H10" s="40">
        <v>2620</v>
      </c>
      <c r="I10" s="43">
        <v>2620</v>
      </c>
      <c r="J10" s="463"/>
      <c r="K10" s="317" t="s">
        <v>78</v>
      </c>
      <c r="L10" s="317" t="s">
        <v>80</v>
      </c>
      <c r="M10" s="239"/>
    </row>
    <row r="11" spans="1:863" ht="15" customHeight="1" x14ac:dyDescent="0.25">
      <c r="A11" s="390">
        <v>43368</v>
      </c>
      <c r="B11" s="216" t="s">
        <v>40</v>
      </c>
      <c r="C11" s="213" t="s">
        <v>31</v>
      </c>
      <c r="D11" s="213" t="s">
        <v>30</v>
      </c>
      <c r="E11" s="213" t="s">
        <v>81</v>
      </c>
      <c r="F11" s="213">
        <v>83</v>
      </c>
      <c r="G11" s="213">
        <v>360</v>
      </c>
      <c r="H11" s="217">
        <v>3360</v>
      </c>
      <c r="I11" s="213">
        <v>3360</v>
      </c>
      <c r="J11" s="218"/>
      <c r="K11" s="316" t="s">
        <v>432</v>
      </c>
      <c r="L11" s="321" t="s">
        <v>284</v>
      </c>
      <c r="M11" s="239"/>
    </row>
    <row r="12" spans="1:863" ht="15" customHeight="1" x14ac:dyDescent="0.25">
      <c r="A12" s="390">
        <v>43368</v>
      </c>
      <c r="B12" s="216" t="s">
        <v>41</v>
      </c>
      <c r="C12" s="213" t="s">
        <v>31</v>
      </c>
      <c r="D12" s="213" t="s">
        <v>30</v>
      </c>
      <c r="E12" s="213" t="s">
        <v>81</v>
      </c>
      <c r="F12" s="213">
        <v>83</v>
      </c>
      <c r="G12" s="213">
        <v>360</v>
      </c>
      <c r="H12" s="217">
        <v>3220</v>
      </c>
      <c r="I12" s="213">
        <v>3220</v>
      </c>
      <c r="J12" s="218"/>
      <c r="K12" s="316" t="s">
        <v>432</v>
      </c>
      <c r="L12" s="321" t="s">
        <v>284</v>
      </c>
      <c r="M12" s="239"/>
    </row>
    <row r="13" spans="1:863" ht="15" customHeight="1" thickBot="1" x14ac:dyDescent="0.3">
      <c r="A13" s="390">
        <v>43368</v>
      </c>
      <c r="B13" s="219" t="s">
        <v>42</v>
      </c>
      <c r="C13" s="214" t="s">
        <v>31</v>
      </c>
      <c r="D13" s="214" t="s">
        <v>30</v>
      </c>
      <c r="E13" s="214" t="s">
        <v>81</v>
      </c>
      <c r="F13" s="214">
        <v>83</v>
      </c>
      <c r="G13" s="214">
        <v>324</v>
      </c>
      <c r="H13" s="220">
        <v>3130</v>
      </c>
      <c r="I13" s="214">
        <v>3130</v>
      </c>
      <c r="J13" s="221"/>
      <c r="K13" s="316" t="s">
        <v>432</v>
      </c>
      <c r="L13" s="321" t="s">
        <v>284</v>
      </c>
      <c r="M13" s="239"/>
    </row>
    <row r="14" spans="1:863" ht="15.75" customHeight="1" x14ac:dyDescent="0.25">
      <c r="A14" s="390">
        <v>43369</v>
      </c>
      <c r="B14" s="222" t="s">
        <v>43</v>
      </c>
      <c r="C14" s="215" t="s">
        <v>31</v>
      </c>
      <c r="D14" s="215" t="s">
        <v>30</v>
      </c>
      <c r="E14" s="215" t="s">
        <v>81</v>
      </c>
      <c r="F14" s="215">
        <v>83</v>
      </c>
      <c r="G14" s="215">
        <v>288</v>
      </c>
      <c r="H14" s="223">
        <v>2655</v>
      </c>
      <c r="I14" s="215">
        <v>2655</v>
      </c>
      <c r="J14" s="224"/>
      <c r="K14" s="316" t="s">
        <v>432</v>
      </c>
      <c r="L14" s="321" t="s">
        <v>284</v>
      </c>
      <c r="M14" s="239"/>
    </row>
    <row r="15" spans="1:863" ht="15.75" customHeight="1" x14ac:dyDescent="0.25">
      <c r="A15" s="390">
        <v>43369</v>
      </c>
      <c r="B15" s="171" t="s">
        <v>44</v>
      </c>
      <c r="C15" s="162" t="s">
        <v>31</v>
      </c>
      <c r="D15" s="162" t="s">
        <v>30</v>
      </c>
      <c r="E15" s="162" t="s">
        <v>81</v>
      </c>
      <c r="F15" s="162">
        <v>83</v>
      </c>
      <c r="G15" s="162">
        <v>360</v>
      </c>
      <c r="H15" s="168">
        <v>3320</v>
      </c>
      <c r="I15" s="162">
        <v>3320</v>
      </c>
      <c r="J15" s="169"/>
      <c r="K15" s="303" t="s">
        <v>394</v>
      </c>
      <c r="L15" s="304" t="s">
        <v>395</v>
      </c>
      <c r="M15" s="239"/>
    </row>
    <row r="16" spans="1:863" ht="15.75" customHeight="1" x14ac:dyDescent="0.25">
      <c r="A16" s="390">
        <v>43369</v>
      </c>
      <c r="B16" s="171" t="s">
        <v>45</v>
      </c>
      <c r="C16" s="162" t="s">
        <v>31</v>
      </c>
      <c r="D16" s="162" t="s">
        <v>30</v>
      </c>
      <c r="E16" s="162" t="s">
        <v>81</v>
      </c>
      <c r="F16" s="162">
        <v>83</v>
      </c>
      <c r="G16" s="162">
        <v>360</v>
      </c>
      <c r="H16" s="168">
        <v>3260</v>
      </c>
      <c r="I16" s="162">
        <v>3260</v>
      </c>
      <c r="J16" s="169"/>
      <c r="K16" s="303" t="s">
        <v>394</v>
      </c>
      <c r="L16" s="304" t="s">
        <v>395</v>
      </c>
      <c r="M16" s="239"/>
    </row>
    <row r="17" spans="1:13" ht="15.75" customHeight="1" x14ac:dyDescent="0.25">
      <c r="A17" s="390">
        <v>43369</v>
      </c>
      <c r="B17" s="171" t="s">
        <v>46</v>
      </c>
      <c r="C17" s="162" t="s">
        <v>31</v>
      </c>
      <c r="D17" s="162" t="s">
        <v>30</v>
      </c>
      <c r="E17" s="162" t="s">
        <v>81</v>
      </c>
      <c r="F17" s="162">
        <v>83</v>
      </c>
      <c r="G17" s="162">
        <v>288</v>
      </c>
      <c r="H17" s="168">
        <v>2660</v>
      </c>
      <c r="I17" s="162">
        <v>2660</v>
      </c>
      <c r="J17" s="162"/>
      <c r="K17" s="303" t="s">
        <v>394</v>
      </c>
      <c r="L17" s="304" t="s">
        <v>395</v>
      </c>
      <c r="M17" s="239"/>
    </row>
    <row r="18" spans="1:13" ht="15.75" customHeight="1" x14ac:dyDescent="0.25">
      <c r="A18" s="390">
        <v>43369</v>
      </c>
      <c r="B18" s="171" t="s">
        <v>47</v>
      </c>
      <c r="C18" s="162" t="s">
        <v>31</v>
      </c>
      <c r="D18" s="162" t="s">
        <v>30</v>
      </c>
      <c r="E18" s="162" t="s">
        <v>81</v>
      </c>
      <c r="F18" s="162">
        <v>83</v>
      </c>
      <c r="G18" s="162">
        <v>360</v>
      </c>
      <c r="H18" s="168">
        <v>3290</v>
      </c>
      <c r="I18" s="162">
        <v>3290</v>
      </c>
      <c r="J18" s="162"/>
      <c r="K18" s="303" t="s">
        <v>394</v>
      </c>
      <c r="L18" s="304" t="s">
        <v>395</v>
      </c>
      <c r="M18" s="239"/>
    </row>
    <row r="19" spans="1:13" ht="15.75" customHeight="1" x14ac:dyDescent="0.25">
      <c r="A19" s="390">
        <v>43369</v>
      </c>
      <c r="B19" s="171" t="s">
        <v>48</v>
      </c>
      <c r="C19" s="162" t="s">
        <v>31</v>
      </c>
      <c r="D19" s="162" t="s">
        <v>30</v>
      </c>
      <c r="E19" s="162" t="s">
        <v>81</v>
      </c>
      <c r="F19" s="162">
        <v>83</v>
      </c>
      <c r="G19" s="162">
        <v>360</v>
      </c>
      <c r="H19" s="168">
        <v>3300</v>
      </c>
      <c r="I19" s="162">
        <v>3300</v>
      </c>
      <c r="J19" s="162"/>
      <c r="K19" s="303" t="s">
        <v>394</v>
      </c>
      <c r="L19" s="304" t="s">
        <v>395</v>
      </c>
      <c r="M19" s="239"/>
    </row>
    <row r="20" spans="1:13" ht="15.75" customHeight="1" x14ac:dyDescent="0.25">
      <c r="A20" s="390">
        <v>43369</v>
      </c>
      <c r="B20" s="171" t="s">
        <v>49</v>
      </c>
      <c r="C20" s="162" t="s">
        <v>31</v>
      </c>
      <c r="D20" s="162" t="s">
        <v>30</v>
      </c>
      <c r="E20" s="162" t="s">
        <v>81</v>
      </c>
      <c r="F20" s="162">
        <v>83</v>
      </c>
      <c r="G20" s="162">
        <v>288</v>
      </c>
      <c r="H20" s="168">
        <v>2590</v>
      </c>
      <c r="I20" s="162">
        <v>2590</v>
      </c>
      <c r="J20" s="162"/>
      <c r="K20" s="303" t="s">
        <v>394</v>
      </c>
      <c r="L20" s="304" t="s">
        <v>395</v>
      </c>
      <c r="M20" s="239"/>
    </row>
    <row r="21" spans="1:13" ht="15.75" customHeight="1" x14ac:dyDescent="0.3">
      <c r="A21" s="390">
        <v>43369</v>
      </c>
      <c r="B21" s="85" t="s">
        <v>50</v>
      </c>
      <c r="C21" s="86" t="s">
        <v>31</v>
      </c>
      <c r="D21" s="86" t="s">
        <v>30</v>
      </c>
      <c r="E21" s="86" t="s">
        <v>81</v>
      </c>
      <c r="F21" s="86">
        <v>83</v>
      </c>
      <c r="G21" s="86">
        <v>360</v>
      </c>
      <c r="H21" s="87">
        <v>3205</v>
      </c>
      <c r="I21" s="86">
        <v>3205</v>
      </c>
      <c r="J21" s="86"/>
      <c r="K21" s="290" t="s">
        <v>283</v>
      </c>
      <c r="L21" s="291" t="s">
        <v>284</v>
      </c>
      <c r="M21" s="239"/>
    </row>
    <row r="22" spans="1:13" ht="15.75" customHeight="1" x14ac:dyDescent="0.3">
      <c r="A22" s="390">
        <v>43369</v>
      </c>
      <c r="B22" s="85" t="s">
        <v>51</v>
      </c>
      <c r="C22" s="86" t="s">
        <v>31</v>
      </c>
      <c r="D22" s="86" t="s">
        <v>30</v>
      </c>
      <c r="E22" s="86" t="s">
        <v>81</v>
      </c>
      <c r="F22" s="86">
        <v>83</v>
      </c>
      <c r="G22" s="86">
        <v>360</v>
      </c>
      <c r="H22" s="87">
        <v>3261</v>
      </c>
      <c r="I22" s="86">
        <v>3261</v>
      </c>
      <c r="J22" s="86"/>
      <c r="K22" s="290" t="s">
        <v>283</v>
      </c>
      <c r="L22" s="291" t="s">
        <v>284</v>
      </c>
      <c r="M22" s="239"/>
    </row>
    <row r="23" spans="1:13" ht="16.5" customHeight="1" x14ac:dyDescent="0.3">
      <c r="A23" s="390">
        <v>43369</v>
      </c>
      <c r="B23" s="85" t="s">
        <v>52</v>
      </c>
      <c r="C23" s="86" t="s">
        <v>31</v>
      </c>
      <c r="D23" s="86" t="s">
        <v>30</v>
      </c>
      <c r="E23" s="86" t="s">
        <v>81</v>
      </c>
      <c r="F23" s="86">
        <v>83</v>
      </c>
      <c r="G23" s="86">
        <v>180</v>
      </c>
      <c r="H23" s="87">
        <v>1570</v>
      </c>
      <c r="I23" s="86">
        <v>1570</v>
      </c>
      <c r="J23" s="86"/>
      <c r="K23" s="290" t="s">
        <v>283</v>
      </c>
      <c r="L23" s="291" t="s">
        <v>284</v>
      </c>
      <c r="M23" s="239"/>
    </row>
    <row r="24" spans="1:13" ht="15.75" customHeight="1" x14ac:dyDescent="0.3">
      <c r="A24" s="390">
        <v>43370</v>
      </c>
      <c r="B24" s="85" t="s">
        <v>53</v>
      </c>
      <c r="C24" s="86" t="s">
        <v>31</v>
      </c>
      <c r="D24" s="86" t="s">
        <v>30</v>
      </c>
      <c r="E24" s="86" t="s">
        <v>81</v>
      </c>
      <c r="F24" s="86">
        <v>83</v>
      </c>
      <c r="G24" s="86">
        <v>360</v>
      </c>
      <c r="H24" s="87">
        <v>3200</v>
      </c>
      <c r="I24" s="86">
        <v>3200</v>
      </c>
      <c r="J24" s="86"/>
      <c r="K24" s="290" t="s">
        <v>283</v>
      </c>
      <c r="L24" s="291" t="s">
        <v>284</v>
      </c>
      <c r="M24" s="239"/>
    </row>
    <row r="25" spans="1:13" ht="15.75" customHeight="1" x14ac:dyDescent="0.3">
      <c r="A25" s="390">
        <v>43370</v>
      </c>
      <c r="B25" s="85" t="s">
        <v>54</v>
      </c>
      <c r="C25" s="86" t="s">
        <v>31</v>
      </c>
      <c r="D25" s="86" t="s">
        <v>30</v>
      </c>
      <c r="E25" s="86" t="s">
        <v>81</v>
      </c>
      <c r="F25" s="86">
        <v>83</v>
      </c>
      <c r="G25" s="86">
        <v>360</v>
      </c>
      <c r="H25" s="87">
        <v>3220</v>
      </c>
      <c r="I25" s="86">
        <v>3220</v>
      </c>
      <c r="J25" s="86"/>
      <c r="K25" s="290" t="s">
        <v>283</v>
      </c>
      <c r="L25" s="291" t="s">
        <v>284</v>
      </c>
      <c r="M25" s="239"/>
    </row>
    <row r="26" spans="1:13" ht="15.75" customHeight="1" x14ac:dyDescent="0.3">
      <c r="A26" s="390">
        <v>43370</v>
      </c>
      <c r="B26" s="85" t="s">
        <v>55</v>
      </c>
      <c r="C26" s="86" t="s">
        <v>31</v>
      </c>
      <c r="D26" s="86" t="s">
        <v>30</v>
      </c>
      <c r="E26" s="86" t="s">
        <v>81</v>
      </c>
      <c r="F26" s="86">
        <v>83</v>
      </c>
      <c r="G26" s="86">
        <v>360</v>
      </c>
      <c r="H26" s="87">
        <v>3280</v>
      </c>
      <c r="I26" s="86">
        <v>3280</v>
      </c>
      <c r="J26" s="86"/>
      <c r="K26" s="290" t="s">
        <v>283</v>
      </c>
      <c r="L26" s="291" t="s">
        <v>284</v>
      </c>
      <c r="M26" s="239"/>
    </row>
    <row r="27" spans="1:13" ht="15.75" customHeight="1" x14ac:dyDescent="0.3">
      <c r="A27" s="390">
        <v>43370</v>
      </c>
      <c r="B27" s="47" t="s">
        <v>56</v>
      </c>
      <c r="C27" s="44" t="s">
        <v>31</v>
      </c>
      <c r="D27" s="48" t="s">
        <v>30</v>
      </c>
      <c r="E27" s="44" t="s">
        <v>81</v>
      </c>
      <c r="F27" s="48">
        <v>83</v>
      </c>
      <c r="G27" s="48">
        <v>360</v>
      </c>
      <c r="H27" s="38">
        <v>3310</v>
      </c>
      <c r="I27" s="44">
        <v>3310</v>
      </c>
      <c r="J27" s="48"/>
      <c r="K27" s="194"/>
      <c r="L27" s="228"/>
    </row>
    <row r="28" spans="1:13" ht="15" customHeight="1" x14ac:dyDescent="0.25">
      <c r="A28" s="390">
        <v>43370</v>
      </c>
      <c r="B28" s="49" t="s">
        <v>57</v>
      </c>
      <c r="C28" s="50" t="s">
        <v>31</v>
      </c>
      <c r="D28" s="50" t="s">
        <v>30</v>
      </c>
      <c r="E28" s="50" t="s">
        <v>81</v>
      </c>
      <c r="F28" s="50">
        <v>83</v>
      </c>
      <c r="G28" s="50">
        <v>324</v>
      </c>
      <c r="H28" s="51">
        <v>2960</v>
      </c>
      <c r="I28" s="50">
        <v>2960</v>
      </c>
      <c r="J28" s="50"/>
      <c r="K28" s="300" t="s">
        <v>211</v>
      </c>
      <c r="L28" s="301" t="s">
        <v>212</v>
      </c>
      <c r="M28" s="239"/>
    </row>
    <row r="29" spans="1:13" ht="15" customHeight="1" x14ac:dyDescent="0.25">
      <c r="A29" s="390">
        <v>43370</v>
      </c>
      <c r="B29" s="318" t="s">
        <v>58</v>
      </c>
      <c r="C29" s="50" t="s">
        <v>31</v>
      </c>
      <c r="D29" s="50" t="s">
        <v>30</v>
      </c>
      <c r="E29" s="50" t="s">
        <v>81</v>
      </c>
      <c r="F29" s="50">
        <v>80</v>
      </c>
      <c r="G29" s="50">
        <v>324</v>
      </c>
      <c r="H29" s="464">
        <f>SUM(I29:I30)</f>
        <v>3330</v>
      </c>
      <c r="I29" s="50">
        <v>2997</v>
      </c>
      <c r="J29" s="50"/>
      <c r="K29" s="300" t="s">
        <v>211</v>
      </c>
      <c r="L29" s="301" t="s">
        <v>212</v>
      </c>
      <c r="M29" s="239"/>
    </row>
    <row r="30" spans="1:13" ht="15" customHeight="1" x14ac:dyDescent="0.25">
      <c r="A30" s="390">
        <v>43370</v>
      </c>
      <c r="B30" s="318" t="s">
        <v>58</v>
      </c>
      <c r="C30" s="50" t="s">
        <v>31</v>
      </c>
      <c r="D30" s="50" t="s">
        <v>30</v>
      </c>
      <c r="E30" s="50" t="s">
        <v>81</v>
      </c>
      <c r="F30" s="50">
        <v>83</v>
      </c>
      <c r="G30" s="50">
        <v>36</v>
      </c>
      <c r="H30" s="465"/>
      <c r="I30" s="50">
        <v>333</v>
      </c>
      <c r="J30" s="50"/>
      <c r="K30" s="300" t="s">
        <v>211</v>
      </c>
      <c r="L30" s="301" t="s">
        <v>212</v>
      </c>
      <c r="M30" s="239"/>
    </row>
    <row r="31" spans="1:13" ht="15" customHeight="1" x14ac:dyDescent="0.25">
      <c r="A31" s="390">
        <v>43370</v>
      </c>
      <c r="B31" s="49" t="s">
        <v>59</v>
      </c>
      <c r="C31" s="50" t="s">
        <v>31</v>
      </c>
      <c r="D31" s="50" t="s">
        <v>30</v>
      </c>
      <c r="E31" s="50" t="s">
        <v>81</v>
      </c>
      <c r="F31" s="50">
        <v>80</v>
      </c>
      <c r="G31" s="50">
        <v>360</v>
      </c>
      <c r="H31" s="51">
        <v>3400</v>
      </c>
      <c r="I31" s="50">
        <v>3400</v>
      </c>
      <c r="J31" s="50"/>
      <c r="K31" s="300" t="s">
        <v>211</v>
      </c>
      <c r="L31" s="301" t="s">
        <v>212</v>
      </c>
      <c r="M31" s="239"/>
    </row>
    <row r="32" spans="1:13" ht="15" customHeight="1" x14ac:dyDescent="0.25">
      <c r="A32" s="390">
        <v>43370</v>
      </c>
      <c r="B32" s="49" t="s">
        <v>60</v>
      </c>
      <c r="C32" s="50" t="s">
        <v>31</v>
      </c>
      <c r="D32" s="50" t="s">
        <v>30</v>
      </c>
      <c r="E32" s="50" t="s">
        <v>81</v>
      </c>
      <c r="F32" s="50">
        <v>80</v>
      </c>
      <c r="G32" s="50">
        <v>360</v>
      </c>
      <c r="H32" s="51">
        <v>3350</v>
      </c>
      <c r="I32" s="50">
        <v>3350</v>
      </c>
      <c r="J32" s="50"/>
      <c r="K32" s="300" t="s">
        <v>211</v>
      </c>
      <c r="L32" s="301" t="s">
        <v>212</v>
      </c>
      <c r="M32" s="239"/>
    </row>
    <row r="33" spans="1:13" ht="15" customHeight="1" x14ac:dyDescent="0.25">
      <c r="A33" s="390">
        <v>43370</v>
      </c>
      <c r="B33" s="49" t="s">
        <v>61</v>
      </c>
      <c r="C33" s="50" t="s">
        <v>31</v>
      </c>
      <c r="D33" s="50" t="s">
        <v>30</v>
      </c>
      <c r="E33" s="50" t="s">
        <v>81</v>
      </c>
      <c r="F33" s="50">
        <v>80</v>
      </c>
      <c r="G33" s="50">
        <v>360</v>
      </c>
      <c r="H33" s="51">
        <v>3370</v>
      </c>
      <c r="I33" s="50">
        <v>3370</v>
      </c>
      <c r="J33" s="50"/>
      <c r="K33" s="300" t="s">
        <v>211</v>
      </c>
      <c r="L33" s="301" t="s">
        <v>212</v>
      </c>
      <c r="M33" s="239"/>
    </row>
    <row r="34" spans="1:13" ht="15" customHeight="1" x14ac:dyDescent="0.25">
      <c r="A34" s="390">
        <v>43370</v>
      </c>
      <c r="B34" s="49" t="s">
        <v>62</v>
      </c>
      <c r="C34" s="50" t="s">
        <v>31</v>
      </c>
      <c r="D34" s="50" t="s">
        <v>30</v>
      </c>
      <c r="E34" s="50" t="s">
        <v>81</v>
      </c>
      <c r="F34" s="50">
        <v>80</v>
      </c>
      <c r="G34" s="50">
        <v>360</v>
      </c>
      <c r="H34" s="51">
        <v>3510</v>
      </c>
      <c r="I34" s="50">
        <v>3510</v>
      </c>
      <c r="J34" s="50"/>
      <c r="K34" s="300" t="s">
        <v>211</v>
      </c>
      <c r="L34" s="301" t="s">
        <v>212</v>
      </c>
      <c r="M34" s="239"/>
    </row>
    <row r="35" spans="1:13" ht="16.5" customHeight="1" x14ac:dyDescent="0.3">
      <c r="A35" s="390">
        <v>43370</v>
      </c>
      <c r="B35" s="216" t="s">
        <v>63</v>
      </c>
      <c r="C35" s="213" t="s">
        <v>31</v>
      </c>
      <c r="D35" s="213" t="s">
        <v>30</v>
      </c>
      <c r="E35" s="213" t="s">
        <v>81</v>
      </c>
      <c r="F35" s="213">
        <v>80</v>
      </c>
      <c r="G35" s="213">
        <v>360</v>
      </c>
      <c r="H35" s="217">
        <v>1070</v>
      </c>
      <c r="I35" s="213">
        <v>1070</v>
      </c>
      <c r="J35" s="213"/>
      <c r="K35" s="225" t="s">
        <v>432</v>
      </c>
      <c r="L35" s="229" t="s">
        <v>284</v>
      </c>
      <c r="M35" s="240">
        <v>1070</v>
      </c>
    </row>
    <row r="36" spans="1:13" ht="15.75" customHeight="1" x14ac:dyDescent="0.25">
      <c r="A36" s="390">
        <v>43371</v>
      </c>
      <c r="B36" s="52" t="s">
        <v>64</v>
      </c>
      <c r="C36" s="53" t="s">
        <v>31</v>
      </c>
      <c r="D36" s="53" t="s">
        <v>30</v>
      </c>
      <c r="E36" s="53" t="s">
        <v>81</v>
      </c>
      <c r="F36" s="53">
        <v>80</v>
      </c>
      <c r="G36" s="53">
        <v>360</v>
      </c>
      <c r="H36" s="54">
        <v>3370</v>
      </c>
      <c r="I36" s="53">
        <v>3370</v>
      </c>
      <c r="J36" s="471"/>
      <c r="K36" s="293" t="s">
        <v>210</v>
      </c>
      <c r="L36" s="302" t="s">
        <v>213</v>
      </c>
      <c r="M36" s="239"/>
    </row>
    <row r="37" spans="1:13" ht="15.75" customHeight="1" x14ac:dyDescent="0.25">
      <c r="A37" s="390">
        <v>43371</v>
      </c>
      <c r="B37" s="52" t="s">
        <v>65</v>
      </c>
      <c r="C37" s="53" t="s">
        <v>31</v>
      </c>
      <c r="D37" s="53" t="s">
        <v>30</v>
      </c>
      <c r="E37" s="53" t="s">
        <v>81</v>
      </c>
      <c r="F37" s="53">
        <v>87</v>
      </c>
      <c r="G37" s="53">
        <v>360</v>
      </c>
      <c r="H37" s="54">
        <v>3500</v>
      </c>
      <c r="I37" s="53">
        <v>3500</v>
      </c>
      <c r="J37" s="472"/>
      <c r="K37" s="293" t="s">
        <v>210</v>
      </c>
      <c r="L37" s="302" t="s">
        <v>213</v>
      </c>
      <c r="M37" s="239"/>
    </row>
    <row r="38" spans="1:13" ht="15.75" customHeight="1" x14ac:dyDescent="0.25">
      <c r="A38" s="390">
        <v>43371</v>
      </c>
      <c r="B38" s="347" t="s">
        <v>66</v>
      </c>
      <c r="C38" s="53" t="s">
        <v>31</v>
      </c>
      <c r="D38" s="53" t="s">
        <v>30</v>
      </c>
      <c r="E38" s="53" t="s">
        <v>81</v>
      </c>
      <c r="F38" s="53">
        <v>80</v>
      </c>
      <c r="G38" s="53">
        <v>144</v>
      </c>
      <c r="H38" s="466">
        <f>SUM(I38:I39)</f>
        <v>3360</v>
      </c>
      <c r="I38" s="53">
        <v>1344</v>
      </c>
      <c r="J38" s="53"/>
      <c r="K38" s="293" t="s">
        <v>210</v>
      </c>
      <c r="L38" s="302" t="s">
        <v>213</v>
      </c>
      <c r="M38" s="239"/>
    </row>
    <row r="39" spans="1:13" ht="15.75" customHeight="1" x14ac:dyDescent="0.25">
      <c r="A39" s="390">
        <v>43371</v>
      </c>
      <c r="B39" s="347" t="s">
        <v>66</v>
      </c>
      <c r="C39" s="53" t="s">
        <v>31</v>
      </c>
      <c r="D39" s="53" t="s">
        <v>30</v>
      </c>
      <c r="E39" s="53" t="s">
        <v>81</v>
      </c>
      <c r="F39" s="53">
        <v>87</v>
      </c>
      <c r="G39" s="53">
        <v>216</v>
      </c>
      <c r="H39" s="467"/>
      <c r="I39" s="53">
        <v>2016</v>
      </c>
      <c r="J39" s="53"/>
      <c r="K39" s="293" t="s">
        <v>210</v>
      </c>
      <c r="L39" s="302" t="s">
        <v>213</v>
      </c>
      <c r="M39" s="239"/>
    </row>
    <row r="40" spans="1:13" ht="15.75" customHeight="1" x14ac:dyDescent="0.25">
      <c r="A40" s="390">
        <v>43371</v>
      </c>
      <c r="B40" s="52" t="s">
        <v>67</v>
      </c>
      <c r="C40" s="53" t="s">
        <v>31</v>
      </c>
      <c r="D40" s="53" t="s">
        <v>30</v>
      </c>
      <c r="E40" s="53" t="s">
        <v>81</v>
      </c>
      <c r="F40" s="53">
        <v>80</v>
      </c>
      <c r="G40" s="53">
        <v>360</v>
      </c>
      <c r="H40" s="54">
        <v>3350</v>
      </c>
      <c r="I40" s="53">
        <v>3350</v>
      </c>
      <c r="J40" s="53"/>
      <c r="K40" s="293" t="s">
        <v>210</v>
      </c>
      <c r="L40" s="302" t="s">
        <v>213</v>
      </c>
      <c r="M40" s="239"/>
    </row>
    <row r="41" spans="1:13" ht="15.75" customHeight="1" x14ac:dyDescent="0.25">
      <c r="A41" s="390">
        <v>43371</v>
      </c>
      <c r="B41" s="52" t="s">
        <v>68</v>
      </c>
      <c r="C41" s="53" t="s">
        <v>31</v>
      </c>
      <c r="D41" s="53" t="s">
        <v>30</v>
      </c>
      <c r="E41" s="53" t="s">
        <v>81</v>
      </c>
      <c r="F41" s="53">
        <v>80</v>
      </c>
      <c r="G41" s="53">
        <v>360</v>
      </c>
      <c r="H41" s="54">
        <v>3380</v>
      </c>
      <c r="I41" s="53">
        <v>3380</v>
      </c>
      <c r="J41" s="53"/>
      <c r="K41" s="293" t="s">
        <v>210</v>
      </c>
      <c r="L41" s="302" t="s">
        <v>213</v>
      </c>
      <c r="M41" s="239"/>
    </row>
    <row r="42" spans="1:13" ht="15.75" customHeight="1" x14ac:dyDescent="0.25">
      <c r="A42" s="390">
        <v>43371</v>
      </c>
      <c r="B42" s="347" t="s">
        <v>69</v>
      </c>
      <c r="C42" s="53" t="s">
        <v>31</v>
      </c>
      <c r="D42" s="53" t="s">
        <v>30</v>
      </c>
      <c r="E42" s="53" t="s">
        <v>81</v>
      </c>
      <c r="F42" s="53">
        <v>80</v>
      </c>
      <c r="G42" s="53">
        <v>72</v>
      </c>
      <c r="H42" s="466">
        <f>SUM(I42:I43)</f>
        <v>3440</v>
      </c>
      <c r="I42" s="53">
        <v>688</v>
      </c>
      <c r="J42" s="53"/>
      <c r="K42" s="293" t="s">
        <v>210</v>
      </c>
      <c r="L42" s="302" t="s">
        <v>213</v>
      </c>
      <c r="M42" s="239"/>
    </row>
    <row r="43" spans="1:13" ht="15.75" customHeight="1" x14ac:dyDescent="0.25">
      <c r="A43" s="390">
        <v>43371</v>
      </c>
      <c r="B43" s="347" t="s">
        <v>69</v>
      </c>
      <c r="C43" s="53" t="s">
        <v>31</v>
      </c>
      <c r="D43" s="53" t="s">
        <v>30</v>
      </c>
      <c r="E43" s="53" t="s">
        <v>81</v>
      </c>
      <c r="F43" s="53">
        <v>87</v>
      </c>
      <c r="G43" s="53">
        <v>288</v>
      </c>
      <c r="H43" s="467"/>
      <c r="I43" s="53">
        <v>2752</v>
      </c>
      <c r="J43" s="53"/>
      <c r="K43" s="293" t="s">
        <v>210</v>
      </c>
      <c r="L43" s="302" t="s">
        <v>213</v>
      </c>
      <c r="M43" s="239"/>
    </row>
    <row r="44" spans="1:13" ht="15.75" customHeight="1" x14ac:dyDescent="0.25">
      <c r="A44" s="390">
        <v>43371</v>
      </c>
      <c r="B44" s="348" t="s">
        <v>70</v>
      </c>
      <c r="C44" s="84" t="s">
        <v>31</v>
      </c>
      <c r="D44" s="84" t="s">
        <v>30</v>
      </c>
      <c r="E44" s="84" t="s">
        <v>81</v>
      </c>
      <c r="F44" s="84">
        <v>80</v>
      </c>
      <c r="G44" s="84">
        <v>72</v>
      </c>
      <c r="H44" s="468">
        <f>SUM(I44:I45)</f>
        <v>3090</v>
      </c>
      <c r="I44" s="84">
        <v>686.6</v>
      </c>
      <c r="J44" s="84"/>
      <c r="K44" s="294" t="s">
        <v>281</v>
      </c>
      <c r="L44" s="295" t="s">
        <v>282</v>
      </c>
      <c r="M44" s="239"/>
    </row>
    <row r="45" spans="1:13" ht="15.75" customHeight="1" x14ac:dyDescent="0.25">
      <c r="A45" s="390">
        <v>43371</v>
      </c>
      <c r="B45" s="348" t="s">
        <v>70</v>
      </c>
      <c r="C45" s="84" t="s">
        <v>31</v>
      </c>
      <c r="D45" s="84" t="s">
        <v>30</v>
      </c>
      <c r="E45" s="84" t="s">
        <v>81</v>
      </c>
      <c r="F45" s="84">
        <v>87</v>
      </c>
      <c r="G45" s="84">
        <v>252</v>
      </c>
      <c r="H45" s="469"/>
      <c r="I45" s="84">
        <v>2403.4</v>
      </c>
      <c r="J45" s="84"/>
      <c r="K45" s="294" t="s">
        <v>281</v>
      </c>
      <c r="L45" s="295" t="s">
        <v>282</v>
      </c>
      <c r="M45" s="239"/>
    </row>
    <row r="46" spans="1:13" ht="15.75" customHeight="1" x14ac:dyDescent="0.25">
      <c r="A46" s="390">
        <v>43371</v>
      </c>
      <c r="B46" s="348" t="s">
        <v>71</v>
      </c>
      <c r="C46" s="84" t="s">
        <v>31</v>
      </c>
      <c r="D46" s="84" t="s">
        <v>30</v>
      </c>
      <c r="E46" s="84" t="s">
        <v>81</v>
      </c>
      <c r="F46" s="84">
        <v>80</v>
      </c>
      <c r="G46" s="84">
        <v>216</v>
      </c>
      <c r="H46" s="468">
        <f>SUM(I46:I47)</f>
        <v>3390</v>
      </c>
      <c r="I46" s="84">
        <v>2034</v>
      </c>
      <c r="J46" s="84"/>
      <c r="K46" s="294" t="s">
        <v>281</v>
      </c>
      <c r="L46" s="295" t="s">
        <v>282</v>
      </c>
      <c r="M46" s="239"/>
    </row>
    <row r="47" spans="1:13" ht="15.75" customHeight="1" x14ac:dyDescent="0.25">
      <c r="A47" s="390">
        <v>43371</v>
      </c>
      <c r="B47" s="348" t="s">
        <v>71</v>
      </c>
      <c r="C47" s="84" t="s">
        <v>31</v>
      </c>
      <c r="D47" s="84" t="s">
        <v>30</v>
      </c>
      <c r="E47" s="84" t="s">
        <v>81</v>
      </c>
      <c r="F47" s="84">
        <v>87</v>
      </c>
      <c r="G47" s="84">
        <v>144</v>
      </c>
      <c r="H47" s="469"/>
      <c r="I47" s="84">
        <v>1356</v>
      </c>
      <c r="J47" s="84"/>
      <c r="K47" s="294" t="s">
        <v>281</v>
      </c>
      <c r="L47" s="295" t="s">
        <v>282</v>
      </c>
      <c r="M47" s="239"/>
    </row>
    <row r="48" spans="1:13" ht="15.75" customHeight="1" x14ac:dyDescent="0.25">
      <c r="A48" s="390">
        <v>43371</v>
      </c>
      <c r="B48" s="348" t="s">
        <v>72</v>
      </c>
      <c r="C48" s="84" t="s">
        <v>31</v>
      </c>
      <c r="D48" s="84" t="s">
        <v>30</v>
      </c>
      <c r="E48" s="84" t="s">
        <v>81</v>
      </c>
      <c r="F48" s="84">
        <v>80</v>
      </c>
      <c r="G48" s="84">
        <v>72</v>
      </c>
      <c r="H48" s="468">
        <f>SUM(I48:I50)</f>
        <v>3440</v>
      </c>
      <c r="I48" s="84">
        <v>688</v>
      </c>
      <c r="J48" s="84"/>
      <c r="K48" s="294" t="s">
        <v>281</v>
      </c>
      <c r="L48" s="295" t="s">
        <v>282</v>
      </c>
      <c r="M48" s="239"/>
    </row>
    <row r="49" spans="1:13" ht="15.75" customHeight="1" x14ac:dyDescent="0.25">
      <c r="A49" s="390">
        <v>43371</v>
      </c>
      <c r="B49" s="348" t="s">
        <v>72</v>
      </c>
      <c r="C49" s="84" t="s">
        <v>31</v>
      </c>
      <c r="D49" s="84" t="s">
        <v>30</v>
      </c>
      <c r="E49" s="84" t="s">
        <v>81</v>
      </c>
      <c r="F49" s="84">
        <v>87</v>
      </c>
      <c r="G49" s="84">
        <v>144</v>
      </c>
      <c r="H49" s="470"/>
      <c r="I49" s="84">
        <v>1376</v>
      </c>
      <c r="J49" s="84"/>
      <c r="K49" s="294" t="s">
        <v>281</v>
      </c>
      <c r="L49" s="295" t="s">
        <v>282</v>
      </c>
      <c r="M49" s="239"/>
    </row>
    <row r="50" spans="1:13" ht="15.75" customHeight="1" x14ac:dyDescent="0.25">
      <c r="A50" s="390">
        <v>43371</v>
      </c>
      <c r="B50" s="348" t="s">
        <v>72</v>
      </c>
      <c r="C50" s="84" t="s">
        <v>31</v>
      </c>
      <c r="D50" s="84" t="s">
        <v>30</v>
      </c>
      <c r="E50" s="84" t="s">
        <v>81</v>
      </c>
      <c r="F50" s="84">
        <v>88</v>
      </c>
      <c r="G50" s="84">
        <v>144</v>
      </c>
      <c r="H50" s="469"/>
      <c r="I50" s="84">
        <v>1376</v>
      </c>
      <c r="J50" s="84"/>
      <c r="K50" s="294" t="s">
        <v>281</v>
      </c>
      <c r="L50" s="295" t="s">
        <v>282</v>
      </c>
      <c r="M50" s="239"/>
    </row>
    <row r="51" spans="1:13" ht="15.75" customHeight="1" x14ac:dyDescent="0.25">
      <c r="A51" s="390">
        <v>43371</v>
      </c>
      <c r="B51" s="349" t="s">
        <v>73</v>
      </c>
      <c r="C51" s="84" t="s">
        <v>31</v>
      </c>
      <c r="D51" s="84" t="s">
        <v>30</v>
      </c>
      <c r="E51" s="84" t="s">
        <v>81</v>
      </c>
      <c r="F51" s="84">
        <v>80</v>
      </c>
      <c r="G51" s="84">
        <v>108</v>
      </c>
      <c r="H51" s="468">
        <f>SUM(I51:I53)</f>
        <v>3360</v>
      </c>
      <c r="I51" s="84">
        <v>1008</v>
      </c>
      <c r="J51" s="84"/>
      <c r="K51" s="294" t="s">
        <v>281</v>
      </c>
      <c r="L51" s="295" t="s">
        <v>282</v>
      </c>
      <c r="M51" s="239"/>
    </row>
    <row r="52" spans="1:13" ht="15.75" customHeight="1" x14ac:dyDescent="0.25">
      <c r="A52" s="390">
        <v>43371</v>
      </c>
      <c r="B52" s="349" t="s">
        <v>73</v>
      </c>
      <c r="C52" s="84" t="s">
        <v>31</v>
      </c>
      <c r="D52" s="84" t="s">
        <v>30</v>
      </c>
      <c r="E52" s="84" t="s">
        <v>81</v>
      </c>
      <c r="F52" s="84">
        <v>87</v>
      </c>
      <c r="G52" s="84">
        <v>180</v>
      </c>
      <c r="H52" s="470"/>
      <c r="I52" s="84">
        <v>1680</v>
      </c>
      <c r="J52" s="84"/>
      <c r="K52" s="294" t="s">
        <v>281</v>
      </c>
      <c r="L52" s="295" t="s">
        <v>282</v>
      </c>
      <c r="M52" s="239"/>
    </row>
    <row r="53" spans="1:13" ht="15.75" customHeight="1" x14ac:dyDescent="0.25">
      <c r="A53" s="390">
        <v>43371</v>
      </c>
      <c r="B53" s="349" t="s">
        <v>73</v>
      </c>
      <c r="C53" s="84" t="s">
        <v>31</v>
      </c>
      <c r="D53" s="84" t="s">
        <v>30</v>
      </c>
      <c r="E53" s="84" t="s">
        <v>81</v>
      </c>
      <c r="F53" s="84">
        <v>88</v>
      </c>
      <c r="G53" s="84">
        <v>72</v>
      </c>
      <c r="H53" s="469"/>
      <c r="I53" s="84">
        <v>672</v>
      </c>
      <c r="J53" s="84"/>
      <c r="K53" s="294" t="s">
        <v>281</v>
      </c>
      <c r="L53" s="295" t="s">
        <v>282</v>
      </c>
      <c r="M53" s="239"/>
    </row>
    <row r="54" spans="1:13" ht="15.75" customHeight="1" x14ac:dyDescent="0.25">
      <c r="A54" s="390">
        <v>43371</v>
      </c>
      <c r="B54" s="348" t="s">
        <v>74</v>
      </c>
      <c r="C54" s="84" t="s">
        <v>31</v>
      </c>
      <c r="D54" s="84" t="s">
        <v>30</v>
      </c>
      <c r="E54" s="84" t="s">
        <v>81</v>
      </c>
      <c r="F54" s="84">
        <v>80</v>
      </c>
      <c r="G54" s="84">
        <v>108</v>
      </c>
      <c r="H54" s="468">
        <f>SUM(I54:I56)</f>
        <v>3360</v>
      </c>
      <c r="I54" s="84">
        <v>1008</v>
      </c>
      <c r="J54" s="84"/>
      <c r="K54" s="294" t="s">
        <v>281</v>
      </c>
      <c r="L54" s="295" t="s">
        <v>282</v>
      </c>
      <c r="M54" s="239"/>
    </row>
    <row r="55" spans="1:13" ht="15.75" customHeight="1" x14ac:dyDescent="0.25">
      <c r="A55" s="390">
        <v>43371</v>
      </c>
      <c r="B55" s="348" t="s">
        <v>74</v>
      </c>
      <c r="C55" s="84" t="s">
        <v>31</v>
      </c>
      <c r="D55" s="84" t="s">
        <v>30</v>
      </c>
      <c r="E55" s="84" t="s">
        <v>81</v>
      </c>
      <c r="F55" s="84">
        <v>87</v>
      </c>
      <c r="G55" s="84">
        <v>216</v>
      </c>
      <c r="H55" s="470"/>
      <c r="I55" s="84">
        <v>2016</v>
      </c>
      <c r="J55" s="84"/>
      <c r="K55" s="294" t="s">
        <v>281</v>
      </c>
      <c r="L55" s="295" t="s">
        <v>282</v>
      </c>
      <c r="M55" s="239"/>
    </row>
    <row r="56" spans="1:13" ht="15.75" customHeight="1" x14ac:dyDescent="0.25">
      <c r="A56" s="390">
        <v>43371</v>
      </c>
      <c r="B56" s="348" t="s">
        <v>74</v>
      </c>
      <c r="C56" s="84" t="s">
        <v>31</v>
      </c>
      <c r="D56" s="84" t="s">
        <v>30</v>
      </c>
      <c r="E56" s="84" t="s">
        <v>81</v>
      </c>
      <c r="F56" s="84">
        <v>88</v>
      </c>
      <c r="G56" s="84">
        <v>36</v>
      </c>
      <c r="H56" s="469"/>
      <c r="I56" s="84">
        <v>336</v>
      </c>
      <c r="J56" s="84"/>
      <c r="K56" s="294" t="s">
        <v>281</v>
      </c>
      <c r="L56" s="295" t="s">
        <v>282</v>
      </c>
      <c r="M56" s="239"/>
    </row>
    <row r="57" spans="1:13" ht="15.75" customHeight="1" x14ac:dyDescent="0.25">
      <c r="A57" s="390">
        <v>43371</v>
      </c>
      <c r="B57" s="348" t="s">
        <v>75</v>
      </c>
      <c r="C57" s="84" t="s">
        <v>31</v>
      </c>
      <c r="D57" s="84" t="s">
        <v>30</v>
      </c>
      <c r="E57" s="84" t="s">
        <v>81</v>
      </c>
      <c r="F57" s="84">
        <v>87</v>
      </c>
      <c r="G57" s="84">
        <v>72</v>
      </c>
      <c r="H57" s="468">
        <f>SUM(I57:I58)</f>
        <v>3640</v>
      </c>
      <c r="I57" s="84">
        <v>728</v>
      </c>
      <c r="J57" s="84"/>
      <c r="K57" s="294" t="s">
        <v>281</v>
      </c>
      <c r="L57" s="295" t="s">
        <v>282</v>
      </c>
      <c r="M57" s="239"/>
    </row>
    <row r="58" spans="1:13" ht="15.75" customHeight="1" x14ac:dyDescent="0.25">
      <c r="A58" s="390">
        <v>43371</v>
      </c>
      <c r="B58" s="348" t="s">
        <v>75</v>
      </c>
      <c r="C58" s="84" t="s">
        <v>31</v>
      </c>
      <c r="D58" s="84" t="s">
        <v>30</v>
      </c>
      <c r="E58" s="84" t="s">
        <v>81</v>
      </c>
      <c r="F58" s="84">
        <v>88</v>
      </c>
      <c r="G58" s="84">
        <v>288</v>
      </c>
      <c r="H58" s="469"/>
      <c r="I58" s="84">
        <v>2912</v>
      </c>
      <c r="J58" s="84"/>
      <c r="K58" s="294" t="s">
        <v>281</v>
      </c>
      <c r="L58" s="295" t="s">
        <v>282</v>
      </c>
      <c r="M58" s="239"/>
    </row>
    <row r="59" spans="1:13" ht="19.5" customHeight="1" x14ac:dyDescent="0.25">
      <c r="A59" s="390">
        <v>43371</v>
      </c>
      <c r="B59" s="350" t="s">
        <v>76</v>
      </c>
      <c r="C59" s="88" t="s">
        <v>31</v>
      </c>
      <c r="D59" s="88" t="s">
        <v>30</v>
      </c>
      <c r="E59" s="88" t="s">
        <v>81</v>
      </c>
      <c r="F59" s="88">
        <v>80</v>
      </c>
      <c r="G59" s="88">
        <v>108</v>
      </c>
      <c r="H59" s="481">
        <f>SUM(I59:I60)</f>
        <v>1990</v>
      </c>
      <c r="I59" s="88">
        <v>995</v>
      </c>
      <c r="J59" s="88"/>
      <c r="K59" s="292" t="s">
        <v>285</v>
      </c>
      <c r="L59" s="285" t="s">
        <v>284</v>
      </c>
      <c r="M59" s="239"/>
    </row>
    <row r="60" spans="1:13" ht="16.5" customHeight="1" x14ac:dyDescent="0.25">
      <c r="A60" s="390">
        <v>43371</v>
      </c>
      <c r="B60" s="350" t="s">
        <v>76</v>
      </c>
      <c r="C60" s="88" t="s">
        <v>31</v>
      </c>
      <c r="D60" s="88" t="s">
        <v>30</v>
      </c>
      <c r="E60" s="88" t="s">
        <v>81</v>
      </c>
      <c r="F60" s="88">
        <v>87</v>
      </c>
      <c r="G60" s="88">
        <v>108</v>
      </c>
      <c r="H60" s="483"/>
      <c r="I60" s="88">
        <v>995</v>
      </c>
      <c r="J60" s="88"/>
      <c r="K60" s="292" t="s">
        <v>285</v>
      </c>
      <c r="L60" s="285" t="s">
        <v>284</v>
      </c>
      <c r="M60" s="239"/>
    </row>
    <row r="61" spans="1:13" ht="15.75" customHeight="1" x14ac:dyDescent="0.25">
      <c r="A61" s="390">
        <v>43372</v>
      </c>
      <c r="B61" s="351" t="s">
        <v>83</v>
      </c>
      <c r="C61" s="88" t="s">
        <v>31</v>
      </c>
      <c r="D61" s="88" t="s">
        <v>30</v>
      </c>
      <c r="E61" s="88" t="s">
        <v>81</v>
      </c>
      <c r="F61" s="88">
        <v>87</v>
      </c>
      <c r="G61" s="88">
        <v>252</v>
      </c>
      <c r="H61" s="481">
        <f>SUM(I61:I62)</f>
        <v>3470</v>
      </c>
      <c r="I61" s="88">
        <v>2429</v>
      </c>
      <c r="J61" s="88"/>
      <c r="K61" s="292" t="s">
        <v>285</v>
      </c>
      <c r="L61" s="285" t="s">
        <v>284</v>
      </c>
      <c r="M61" s="239"/>
    </row>
    <row r="62" spans="1:13" ht="15.75" customHeight="1" x14ac:dyDescent="0.25">
      <c r="A62" s="390">
        <v>43372</v>
      </c>
      <c r="B62" s="351" t="s">
        <v>83</v>
      </c>
      <c r="C62" s="88" t="s">
        <v>31</v>
      </c>
      <c r="D62" s="88" t="s">
        <v>30</v>
      </c>
      <c r="E62" s="88" t="s">
        <v>81</v>
      </c>
      <c r="F62" s="88">
        <v>88</v>
      </c>
      <c r="G62" s="88">
        <v>108</v>
      </c>
      <c r="H62" s="483"/>
      <c r="I62" s="88">
        <v>1041</v>
      </c>
      <c r="J62" s="88"/>
      <c r="K62" s="292" t="s">
        <v>285</v>
      </c>
      <c r="L62" s="285" t="s">
        <v>284</v>
      </c>
      <c r="M62" s="239"/>
    </row>
    <row r="63" spans="1:13" ht="15.75" customHeight="1" x14ac:dyDescent="0.25">
      <c r="A63" s="390">
        <v>43372</v>
      </c>
      <c r="B63" s="352" t="s">
        <v>84</v>
      </c>
      <c r="C63" s="88" t="s">
        <v>31</v>
      </c>
      <c r="D63" s="88" t="s">
        <v>30</v>
      </c>
      <c r="E63" s="88" t="s">
        <v>81</v>
      </c>
      <c r="F63" s="88">
        <v>80</v>
      </c>
      <c r="G63" s="88">
        <v>72</v>
      </c>
      <c r="H63" s="481">
        <f>SUM(I63:I65)</f>
        <v>3500</v>
      </c>
      <c r="I63" s="88">
        <v>700</v>
      </c>
      <c r="J63" s="88"/>
      <c r="K63" s="292" t="s">
        <v>285</v>
      </c>
      <c r="L63" s="285" t="s">
        <v>284</v>
      </c>
      <c r="M63" s="239"/>
    </row>
    <row r="64" spans="1:13" ht="15.75" customHeight="1" x14ac:dyDescent="0.25">
      <c r="A64" s="390">
        <v>43372</v>
      </c>
      <c r="B64" s="352" t="s">
        <v>84</v>
      </c>
      <c r="C64" s="88" t="s">
        <v>31</v>
      </c>
      <c r="D64" s="88" t="s">
        <v>30</v>
      </c>
      <c r="E64" s="88" t="s">
        <v>81</v>
      </c>
      <c r="F64" s="88">
        <v>87</v>
      </c>
      <c r="G64" s="88">
        <v>180</v>
      </c>
      <c r="H64" s="482"/>
      <c r="I64" s="88">
        <v>1750</v>
      </c>
      <c r="J64" s="88"/>
      <c r="K64" s="292" t="s">
        <v>285</v>
      </c>
      <c r="L64" s="285" t="s">
        <v>284</v>
      </c>
      <c r="M64" s="239"/>
    </row>
    <row r="65" spans="1:13" ht="15.75" customHeight="1" x14ac:dyDescent="0.25">
      <c r="A65" s="390">
        <v>43372</v>
      </c>
      <c r="B65" s="352" t="s">
        <v>84</v>
      </c>
      <c r="C65" s="88" t="s">
        <v>31</v>
      </c>
      <c r="D65" s="88" t="s">
        <v>30</v>
      </c>
      <c r="E65" s="88" t="s">
        <v>81</v>
      </c>
      <c r="F65" s="88">
        <v>88</v>
      </c>
      <c r="G65" s="88">
        <v>108</v>
      </c>
      <c r="H65" s="483"/>
      <c r="I65" s="88">
        <v>1050</v>
      </c>
      <c r="J65" s="88"/>
      <c r="K65" s="292" t="s">
        <v>285</v>
      </c>
      <c r="L65" s="285" t="s">
        <v>284</v>
      </c>
      <c r="M65" s="239"/>
    </row>
    <row r="66" spans="1:13" ht="15.75" customHeight="1" x14ac:dyDescent="0.25">
      <c r="A66" s="390">
        <v>43372</v>
      </c>
      <c r="B66" s="351" t="s">
        <v>85</v>
      </c>
      <c r="C66" s="88" t="s">
        <v>31</v>
      </c>
      <c r="D66" s="88" t="s">
        <v>30</v>
      </c>
      <c r="E66" s="88" t="s">
        <v>81</v>
      </c>
      <c r="F66" s="88">
        <v>80</v>
      </c>
      <c r="G66" s="88">
        <v>144</v>
      </c>
      <c r="H66" s="481">
        <f>SUM(I66:I68)</f>
        <v>3380</v>
      </c>
      <c r="I66" s="88">
        <v>1352</v>
      </c>
      <c r="J66" s="88"/>
      <c r="K66" s="292" t="s">
        <v>285</v>
      </c>
      <c r="L66" s="285" t="s">
        <v>284</v>
      </c>
      <c r="M66" s="239"/>
    </row>
    <row r="67" spans="1:13" ht="15.75" customHeight="1" x14ac:dyDescent="0.25">
      <c r="A67" s="390">
        <v>43372</v>
      </c>
      <c r="B67" s="351" t="s">
        <v>85</v>
      </c>
      <c r="C67" s="88" t="s">
        <v>31</v>
      </c>
      <c r="D67" s="88" t="s">
        <v>30</v>
      </c>
      <c r="E67" s="88" t="s">
        <v>81</v>
      </c>
      <c r="F67" s="88">
        <v>87</v>
      </c>
      <c r="G67" s="88">
        <v>180</v>
      </c>
      <c r="H67" s="482"/>
      <c r="I67" s="88">
        <v>1690</v>
      </c>
      <c r="J67" s="88"/>
      <c r="K67" s="292" t="s">
        <v>285</v>
      </c>
      <c r="L67" s="285" t="s">
        <v>284</v>
      </c>
      <c r="M67" s="239"/>
    </row>
    <row r="68" spans="1:13" ht="15.75" customHeight="1" x14ac:dyDescent="0.25">
      <c r="A68" s="390">
        <v>43372</v>
      </c>
      <c r="B68" s="351" t="s">
        <v>85</v>
      </c>
      <c r="C68" s="88" t="s">
        <v>31</v>
      </c>
      <c r="D68" s="88" t="s">
        <v>30</v>
      </c>
      <c r="E68" s="88" t="s">
        <v>81</v>
      </c>
      <c r="F68" s="88">
        <v>88</v>
      </c>
      <c r="G68" s="88">
        <v>36</v>
      </c>
      <c r="H68" s="483"/>
      <c r="I68" s="88">
        <v>338</v>
      </c>
      <c r="J68" s="88"/>
      <c r="K68" s="292" t="s">
        <v>285</v>
      </c>
      <c r="L68" s="285" t="s">
        <v>284</v>
      </c>
      <c r="M68" s="239"/>
    </row>
    <row r="69" spans="1:13" ht="15.75" customHeight="1" x14ac:dyDescent="0.25">
      <c r="A69" s="390">
        <v>43372</v>
      </c>
      <c r="B69" s="351" t="s">
        <v>86</v>
      </c>
      <c r="C69" s="88" t="s">
        <v>31</v>
      </c>
      <c r="D69" s="88" t="s">
        <v>30</v>
      </c>
      <c r="E69" s="88" t="s">
        <v>81</v>
      </c>
      <c r="F69" s="88">
        <v>80</v>
      </c>
      <c r="G69" s="88">
        <v>144</v>
      </c>
      <c r="H69" s="481">
        <f>SUM(I69:I71)</f>
        <v>3470</v>
      </c>
      <c r="I69" s="88">
        <v>1388</v>
      </c>
      <c r="J69" s="88"/>
      <c r="K69" s="292" t="s">
        <v>285</v>
      </c>
      <c r="L69" s="285" t="s">
        <v>284</v>
      </c>
      <c r="M69" s="239"/>
    </row>
    <row r="70" spans="1:13" ht="15.75" customHeight="1" x14ac:dyDescent="0.25">
      <c r="A70" s="390">
        <v>43372</v>
      </c>
      <c r="B70" s="351" t="s">
        <v>86</v>
      </c>
      <c r="C70" s="88" t="s">
        <v>31</v>
      </c>
      <c r="D70" s="88" t="s">
        <v>30</v>
      </c>
      <c r="E70" s="88" t="s">
        <v>81</v>
      </c>
      <c r="F70" s="88">
        <v>87</v>
      </c>
      <c r="G70" s="88">
        <v>108</v>
      </c>
      <c r="H70" s="482"/>
      <c r="I70" s="88">
        <v>1041</v>
      </c>
      <c r="J70" s="88"/>
      <c r="K70" s="292" t="s">
        <v>285</v>
      </c>
      <c r="L70" s="285" t="s">
        <v>284</v>
      </c>
      <c r="M70" s="239"/>
    </row>
    <row r="71" spans="1:13" ht="15.75" customHeight="1" x14ac:dyDescent="0.25">
      <c r="A71" s="390">
        <v>43372</v>
      </c>
      <c r="B71" s="351" t="s">
        <v>86</v>
      </c>
      <c r="C71" s="88" t="s">
        <v>31</v>
      </c>
      <c r="D71" s="88" t="s">
        <v>30</v>
      </c>
      <c r="E71" s="88" t="s">
        <v>81</v>
      </c>
      <c r="F71" s="88">
        <v>88</v>
      </c>
      <c r="G71" s="88">
        <v>108</v>
      </c>
      <c r="H71" s="483"/>
      <c r="I71" s="88">
        <v>1041</v>
      </c>
      <c r="J71" s="88"/>
      <c r="K71" s="292" t="s">
        <v>285</v>
      </c>
      <c r="L71" s="285" t="s">
        <v>284</v>
      </c>
      <c r="M71" s="239"/>
    </row>
    <row r="72" spans="1:13" ht="15.75" customHeight="1" x14ac:dyDescent="0.25">
      <c r="A72" s="390">
        <v>43372</v>
      </c>
      <c r="B72" s="353" t="s">
        <v>87</v>
      </c>
      <c r="C72" s="55" t="s">
        <v>31</v>
      </c>
      <c r="D72" s="55" t="s">
        <v>30</v>
      </c>
      <c r="E72" s="55" t="s">
        <v>81</v>
      </c>
      <c r="F72" s="55">
        <v>80</v>
      </c>
      <c r="G72" s="55">
        <v>108</v>
      </c>
      <c r="H72" s="473">
        <f>SUM(I72:I74)</f>
        <v>3530</v>
      </c>
      <c r="I72" s="55">
        <v>1059</v>
      </c>
      <c r="J72" s="473">
        <f>SUM(H72:H80)</f>
        <v>14270</v>
      </c>
      <c r="K72" s="298" t="s">
        <v>208</v>
      </c>
      <c r="L72" s="272" t="s">
        <v>150</v>
      </c>
      <c r="M72" s="239"/>
    </row>
    <row r="73" spans="1:13" ht="15.75" customHeight="1" x14ac:dyDescent="0.25">
      <c r="A73" s="390">
        <v>43372</v>
      </c>
      <c r="B73" s="353" t="s">
        <v>87</v>
      </c>
      <c r="C73" s="55" t="s">
        <v>31</v>
      </c>
      <c r="D73" s="55" t="s">
        <v>30</v>
      </c>
      <c r="E73" s="55" t="s">
        <v>81</v>
      </c>
      <c r="F73" s="55">
        <v>87</v>
      </c>
      <c r="G73" s="55">
        <v>180</v>
      </c>
      <c r="H73" s="474"/>
      <c r="I73" s="55">
        <v>1765</v>
      </c>
      <c r="J73" s="474"/>
      <c r="K73" s="298" t="s">
        <v>208</v>
      </c>
      <c r="L73" s="272" t="s">
        <v>150</v>
      </c>
      <c r="M73" s="239"/>
    </row>
    <row r="74" spans="1:13" ht="15.75" customHeight="1" x14ac:dyDescent="0.25">
      <c r="A74" s="390">
        <v>43372</v>
      </c>
      <c r="B74" s="353" t="s">
        <v>87</v>
      </c>
      <c r="C74" s="55" t="s">
        <v>31</v>
      </c>
      <c r="D74" s="55" t="s">
        <v>30</v>
      </c>
      <c r="E74" s="55" t="s">
        <v>81</v>
      </c>
      <c r="F74" s="55">
        <v>88</v>
      </c>
      <c r="G74" s="55">
        <v>72</v>
      </c>
      <c r="H74" s="475"/>
      <c r="I74" s="55">
        <v>706</v>
      </c>
      <c r="J74" s="474"/>
      <c r="K74" s="298" t="s">
        <v>208</v>
      </c>
      <c r="L74" s="272" t="s">
        <v>150</v>
      </c>
      <c r="M74" s="239"/>
    </row>
    <row r="75" spans="1:13" ht="15.75" customHeight="1" x14ac:dyDescent="0.25">
      <c r="A75" s="390">
        <v>43372</v>
      </c>
      <c r="B75" s="353" t="s">
        <v>88</v>
      </c>
      <c r="C75" s="55" t="s">
        <v>31</v>
      </c>
      <c r="D75" s="55" t="s">
        <v>30</v>
      </c>
      <c r="E75" s="55" t="s">
        <v>81</v>
      </c>
      <c r="F75" s="55">
        <v>87</v>
      </c>
      <c r="G75" s="55">
        <v>252</v>
      </c>
      <c r="H75" s="473">
        <f>SUM(I75:I76)</f>
        <v>3520</v>
      </c>
      <c r="I75" s="55">
        <v>2464</v>
      </c>
      <c r="J75" s="474"/>
      <c r="K75" s="298" t="s">
        <v>208</v>
      </c>
      <c r="L75" s="272" t="s">
        <v>150</v>
      </c>
      <c r="M75" s="239"/>
    </row>
    <row r="76" spans="1:13" ht="15.75" customHeight="1" x14ac:dyDescent="0.25">
      <c r="A76" s="390">
        <v>43372</v>
      </c>
      <c r="B76" s="353" t="s">
        <v>88</v>
      </c>
      <c r="C76" s="55" t="s">
        <v>31</v>
      </c>
      <c r="D76" s="55" t="s">
        <v>30</v>
      </c>
      <c r="E76" s="55" t="s">
        <v>81</v>
      </c>
      <c r="F76" s="55">
        <v>88</v>
      </c>
      <c r="G76" s="55">
        <v>108</v>
      </c>
      <c r="H76" s="475"/>
      <c r="I76" s="55">
        <v>1056</v>
      </c>
      <c r="J76" s="474"/>
      <c r="K76" s="298" t="s">
        <v>208</v>
      </c>
      <c r="L76" s="272" t="s">
        <v>150</v>
      </c>
      <c r="M76" s="239"/>
    </row>
    <row r="77" spans="1:13" ht="15.75" customHeight="1" x14ac:dyDescent="0.25">
      <c r="A77" s="390">
        <v>43372</v>
      </c>
      <c r="B77" s="353" t="s">
        <v>89</v>
      </c>
      <c r="C77" s="55" t="s">
        <v>31</v>
      </c>
      <c r="D77" s="55" t="s">
        <v>30</v>
      </c>
      <c r="E77" s="55" t="s">
        <v>81</v>
      </c>
      <c r="F77" s="55">
        <v>87</v>
      </c>
      <c r="G77" s="55">
        <v>144</v>
      </c>
      <c r="H77" s="473">
        <f>SUM(I77:I78)</f>
        <v>3630</v>
      </c>
      <c r="I77" s="55">
        <v>1452</v>
      </c>
      <c r="J77" s="474"/>
      <c r="K77" s="298" t="s">
        <v>208</v>
      </c>
      <c r="L77" s="272" t="s">
        <v>150</v>
      </c>
      <c r="M77" s="239"/>
    </row>
    <row r="78" spans="1:13" ht="15.75" customHeight="1" x14ac:dyDescent="0.25">
      <c r="A78" s="390">
        <v>43372</v>
      </c>
      <c r="B78" s="353" t="s">
        <v>89</v>
      </c>
      <c r="C78" s="55" t="s">
        <v>31</v>
      </c>
      <c r="D78" s="55" t="s">
        <v>30</v>
      </c>
      <c r="E78" s="55" t="s">
        <v>81</v>
      </c>
      <c r="F78" s="55">
        <v>88</v>
      </c>
      <c r="G78" s="55">
        <v>216</v>
      </c>
      <c r="H78" s="475"/>
      <c r="I78" s="55">
        <v>2178</v>
      </c>
      <c r="J78" s="474"/>
      <c r="K78" s="298" t="s">
        <v>208</v>
      </c>
      <c r="L78" s="272" t="s">
        <v>150</v>
      </c>
      <c r="M78" s="239"/>
    </row>
    <row r="79" spans="1:13" ht="15.75" customHeight="1" x14ac:dyDescent="0.25">
      <c r="A79" s="390">
        <v>43372</v>
      </c>
      <c r="B79" s="353" t="s">
        <v>90</v>
      </c>
      <c r="C79" s="55" t="s">
        <v>31</v>
      </c>
      <c r="D79" s="55" t="s">
        <v>30</v>
      </c>
      <c r="E79" s="55" t="s">
        <v>81</v>
      </c>
      <c r="F79" s="55">
        <v>87</v>
      </c>
      <c r="G79" s="55">
        <v>180</v>
      </c>
      <c r="H79" s="473">
        <f>SUM(I79:I80)</f>
        <v>3590</v>
      </c>
      <c r="I79" s="55">
        <v>1795</v>
      </c>
      <c r="J79" s="474"/>
      <c r="K79" s="298" t="s">
        <v>208</v>
      </c>
      <c r="L79" s="272" t="s">
        <v>150</v>
      </c>
      <c r="M79" s="239"/>
    </row>
    <row r="80" spans="1:13" ht="15.75" customHeight="1" x14ac:dyDescent="0.25">
      <c r="A80" s="390">
        <v>43372</v>
      </c>
      <c r="B80" s="353" t="s">
        <v>90</v>
      </c>
      <c r="C80" s="55" t="s">
        <v>31</v>
      </c>
      <c r="D80" s="55" t="s">
        <v>30</v>
      </c>
      <c r="E80" s="55" t="s">
        <v>81</v>
      </c>
      <c r="F80" s="55">
        <v>88</v>
      </c>
      <c r="G80" s="55">
        <v>180</v>
      </c>
      <c r="H80" s="475"/>
      <c r="I80" s="55">
        <v>1795</v>
      </c>
      <c r="J80" s="475"/>
      <c r="K80" s="298" t="s">
        <v>208</v>
      </c>
      <c r="L80" s="272" t="s">
        <v>150</v>
      </c>
      <c r="M80" s="239"/>
    </row>
    <row r="81" spans="1:13" ht="15.75" customHeight="1" x14ac:dyDescent="0.25">
      <c r="A81" s="390">
        <v>43372</v>
      </c>
      <c r="B81" s="351" t="s">
        <v>91</v>
      </c>
      <c r="C81" s="88" t="s">
        <v>31</v>
      </c>
      <c r="D81" s="88" t="s">
        <v>30</v>
      </c>
      <c r="E81" s="88" t="s">
        <v>81</v>
      </c>
      <c r="F81" s="88">
        <v>87</v>
      </c>
      <c r="G81" s="88">
        <v>252</v>
      </c>
      <c r="H81" s="481">
        <f>SUM(I81:I82)</f>
        <v>3510</v>
      </c>
      <c r="I81" s="88">
        <v>2457</v>
      </c>
      <c r="J81" s="88"/>
      <c r="K81" s="292" t="s">
        <v>285</v>
      </c>
      <c r="L81" s="285" t="s">
        <v>284</v>
      </c>
      <c r="M81" s="239"/>
    </row>
    <row r="82" spans="1:13" ht="15.75" customHeight="1" x14ac:dyDescent="0.25">
      <c r="A82" s="390">
        <v>43372</v>
      </c>
      <c r="B82" s="351" t="s">
        <v>91</v>
      </c>
      <c r="C82" s="88" t="s">
        <v>31</v>
      </c>
      <c r="D82" s="88" t="s">
        <v>30</v>
      </c>
      <c r="E82" s="88" t="s">
        <v>81</v>
      </c>
      <c r="F82" s="88">
        <v>88</v>
      </c>
      <c r="G82" s="88">
        <v>108</v>
      </c>
      <c r="H82" s="483"/>
      <c r="I82" s="88">
        <v>1053</v>
      </c>
      <c r="J82" s="88"/>
      <c r="K82" s="292" t="s">
        <v>285</v>
      </c>
      <c r="L82" s="285" t="s">
        <v>284</v>
      </c>
      <c r="M82" s="239"/>
    </row>
    <row r="83" spans="1:13" ht="15.75" customHeight="1" x14ac:dyDescent="0.25">
      <c r="A83" s="390">
        <v>43372</v>
      </c>
      <c r="B83" s="346" t="s">
        <v>92</v>
      </c>
      <c r="C83" s="155" t="s">
        <v>31</v>
      </c>
      <c r="D83" s="155" t="s">
        <v>30</v>
      </c>
      <c r="E83" s="155" t="s">
        <v>81</v>
      </c>
      <c r="F83" s="155">
        <v>87</v>
      </c>
      <c r="G83" s="155">
        <v>180</v>
      </c>
      <c r="H83" s="479">
        <f>SUM(I83:I84)</f>
        <v>3670</v>
      </c>
      <c r="I83" s="155">
        <v>1835</v>
      </c>
      <c r="J83" s="155"/>
      <c r="K83" s="268" t="s">
        <v>369</v>
      </c>
      <c r="L83" s="269" t="s">
        <v>284</v>
      </c>
      <c r="M83" s="239"/>
    </row>
    <row r="84" spans="1:13" ht="15.75" customHeight="1" x14ac:dyDescent="0.25">
      <c r="A84" s="390">
        <v>43372</v>
      </c>
      <c r="B84" s="346" t="s">
        <v>92</v>
      </c>
      <c r="C84" s="155" t="s">
        <v>31</v>
      </c>
      <c r="D84" s="155" t="s">
        <v>30</v>
      </c>
      <c r="E84" s="155" t="s">
        <v>81</v>
      </c>
      <c r="F84" s="155">
        <v>88</v>
      </c>
      <c r="G84" s="155">
        <v>180</v>
      </c>
      <c r="H84" s="480"/>
      <c r="I84" s="155">
        <v>1835</v>
      </c>
      <c r="J84" s="155"/>
      <c r="K84" s="268" t="s">
        <v>369</v>
      </c>
      <c r="L84" s="269" t="s">
        <v>284</v>
      </c>
      <c r="M84" s="239"/>
    </row>
    <row r="85" spans="1:13" ht="15.75" customHeight="1" x14ac:dyDescent="0.25">
      <c r="A85" s="390">
        <v>43372</v>
      </c>
      <c r="B85" s="346" t="s">
        <v>93</v>
      </c>
      <c r="C85" s="155" t="s">
        <v>31</v>
      </c>
      <c r="D85" s="155" t="s">
        <v>30</v>
      </c>
      <c r="E85" s="155" t="s">
        <v>81</v>
      </c>
      <c r="F85" s="155">
        <v>87</v>
      </c>
      <c r="G85" s="155">
        <v>72</v>
      </c>
      <c r="H85" s="479">
        <f>SUM(I85:I86)</f>
        <v>3660</v>
      </c>
      <c r="I85" s="155">
        <v>732</v>
      </c>
      <c r="J85" s="155"/>
      <c r="K85" s="268" t="s">
        <v>369</v>
      </c>
      <c r="L85" s="269" t="s">
        <v>284</v>
      </c>
      <c r="M85" s="239"/>
    </row>
    <row r="86" spans="1:13" ht="15.75" customHeight="1" x14ac:dyDescent="0.25">
      <c r="A86" s="390">
        <v>43372</v>
      </c>
      <c r="B86" s="346" t="s">
        <v>93</v>
      </c>
      <c r="C86" s="155" t="s">
        <v>31</v>
      </c>
      <c r="D86" s="155" t="s">
        <v>30</v>
      </c>
      <c r="E86" s="155" t="s">
        <v>81</v>
      </c>
      <c r="F86" s="155">
        <v>88</v>
      </c>
      <c r="G86" s="155">
        <v>288</v>
      </c>
      <c r="H86" s="480"/>
      <c r="I86" s="155">
        <v>2928</v>
      </c>
      <c r="J86" s="155"/>
      <c r="K86" s="268" t="s">
        <v>369</v>
      </c>
      <c r="L86" s="269" t="s">
        <v>284</v>
      </c>
      <c r="M86" s="239"/>
    </row>
    <row r="87" spans="1:13" ht="15.75" customHeight="1" x14ac:dyDescent="0.25">
      <c r="A87" s="390">
        <v>43372</v>
      </c>
      <c r="B87" s="346" t="s">
        <v>94</v>
      </c>
      <c r="C87" s="155" t="s">
        <v>31</v>
      </c>
      <c r="D87" s="155" t="s">
        <v>30</v>
      </c>
      <c r="E87" s="155" t="s">
        <v>81</v>
      </c>
      <c r="F87" s="155">
        <v>87</v>
      </c>
      <c r="G87" s="155">
        <v>252</v>
      </c>
      <c r="H87" s="479">
        <f>SUM(I87:I88)</f>
        <v>3590</v>
      </c>
      <c r="I87" s="155">
        <v>2513</v>
      </c>
      <c r="J87" s="155"/>
      <c r="K87" s="268" t="s">
        <v>369</v>
      </c>
      <c r="L87" s="269" t="s">
        <v>284</v>
      </c>
      <c r="M87" s="239"/>
    </row>
    <row r="88" spans="1:13" ht="15.75" customHeight="1" x14ac:dyDescent="0.25">
      <c r="A88" s="390">
        <v>43372</v>
      </c>
      <c r="B88" s="346" t="s">
        <v>94</v>
      </c>
      <c r="C88" s="155" t="s">
        <v>31</v>
      </c>
      <c r="D88" s="155" t="s">
        <v>30</v>
      </c>
      <c r="E88" s="155" t="s">
        <v>81</v>
      </c>
      <c r="F88" s="155">
        <v>88</v>
      </c>
      <c r="G88" s="155">
        <v>108</v>
      </c>
      <c r="H88" s="480"/>
      <c r="I88" s="155">
        <v>1077</v>
      </c>
      <c r="J88" s="155"/>
      <c r="K88" s="268" t="s">
        <v>369</v>
      </c>
      <c r="L88" s="269" t="s">
        <v>284</v>
      </c>
      <c r="M88" s="239"/>
    </row>
    <row r="89" spans="1:13" ht="16.5" customHeight="1" x14ac:dyDescent="0.25">
      <c r="A89" s="390">
        <v>43372</v>
      </c>
      <c r="B89" s="161" t="s">
        <v>95</v>
      </c>
      <c r="C89" s="155" t="s">
        <v>31</v>
      </c>
      <c r="D89" s="155" t="s">
        <v>30</v>
      </c>
      <c r="E89" s="155" t="s">
        <v>81</v>
      </c>
      <c r="F89" s="155">
        <v>88</v>
      </c>
      <c r="G89" s="155">
        <v>180</v>
      </c>
      <c r="H89" s="160">
        <v>1960</v>
      </c>
      <c r="I89" s="155">
        <v>1960</v>
      </c>
      <c r="J89" s="155"/>
      <c r="K89" s="268" t="s">
        <v>369</v>
      </c>
      <c r="L89" s="269" t="s">
        <v>284</v>
      </c>
      <c r="M89" s="239"/>
    </row>
    <row r="90" spans="1:13" ht="15.75" customHeight="1" x14ac:dyDescent="0.25">
      <c r="A90" s="390">
        <v>43374</v>
      </c>
      <c r="B90" s="354" t="s">
        <v>98</v>
      </c>
      <c r="C90" s="57" t="s">
        <v>31</v>
      </c>
      <c r="D90" s="57" t="s">
        <v>30</v>
      </c>
      <c r="E90" s="57" t="s">
        <v>81</v>
      </c>
      <c r="F90" s="57">
        <v>84</v>
      </c>
      <c r="G90" s="57">
        <v>144</v>
      </c>
      <c r="H90" s="484">
        <f>SUM(I90:I92)</f>
        <v>2880</v>
      </c>
      <c r="I90" s="57">
        <v>1440</v>
      </c>
      <c r="J90" s="484">
        <v>19110</v>
      </c>
      <c r="K90" s="296" t="s">
        <v>149</v>
      </c>
      <c r="L90" s="297" t="s">
        <v>150</v>
      </c>
      <c r="M90" s="239"/>
    </row>
    <row r="91" spans="1:13" ht="15.75" customHeight="1" x14ac:dyDescent="0.25">
      <c r="A91" s="390">
        <v>43374</v>
      </c>
      <c r="B91" s="354" t="s">
        <v>98</v>
      </c>
      <c r="C91" s="57" t="s">
        <v>31</v>
      </c>
      <c r="D91" s="57" t="s">
        <v>30</v>
      </c>
      <c r="E91" s="57" t="s">
        <v>81</v>
      </c>
      <c r="F91" s="57">
        <v>85</v>
      </c>
      <c r="G91" s="57">
        <v>36</v>
      </c>
      <c r="H91" s="485"/>
      <c r="I91" s="57">
        <v>360</v>
      </c>
      <c r="J91" s="485"/>
      <c r="K91" s="296" t="s">
        <v>149</v>
      </c>
      <c r="L91" s="297" t="s">
        <v>150</v>
      </c>
      <c r="M91" s="239"/>
    </row>
    <row r="92" spans="1:13" ht="15.75" customHeight="1" x14ac:dyDescent="0.25">
      <c r="A92" s="390">
        <v>43374</v>
      </c>
      <c r="B92" s="354" t="s">
        <v>98</v>
      </c>
      <c r="C92" s="57" t="s">
        <v>31</v>
      </c>
      <c r="D92" s="57" t="s">
        <v>30</v>
      </c>
      <c r="E92" s="57" t="s">
        <v>81</v>
      </c>
      <c r="F92" s="57">
        <v>88</v>
      </c>
      <c r="G92" s="57">
        <v>108</v>
      </c>
      <c r="H92" s="486"/>
      <c r="I92" s="57">
        <v>1080</v>
      </c>
      <c r="J92" s="485"/>
      <c r="K92" s="296" t="s">
        <v>149</v>
      </c>
      <c r="L92" s="297" t="s">
        <v>150</v>
      </c>
      <c r="M92" s="239"/>
    </row>
    <row r="93" spans="1:13" ht="15.75" customHeight="1" x14ac:dyDescent="0.25">
      <c r="A93" s="390">
        <v>43374</v>
      </c>
      <c r="B93" s="354" t="s">
        <v>99</v>
      </c>
      <c r="C93" s="57" t="s">
        <v>31</v>
      </c>
      <c r="D93" s="57" t="s">
        <v>30</v>
      </c>
      <c r="E93" s="57" t="s">
        <v>81</v>
      </c>
      <c r="F93" s="57">
        <v>84</v>
      </c>
      <c r="G93" s="57">
        <v>72</v>
      </c>
      <c r="H93" s="484">
        <f>SUM(I93:I96)</f>
        <v>3530</v>
      </c>
      <c r="I93" s="57">
        <v>706</v>
      </c>
      <c r="J93" s="485"/>
      <c r="K93" s="296" t="s">
        <v>149</v>
      </c>
      <c r="L93" s="297" t="s">
        <v>150</v>
      </c>
      <c r="M93" s="239"/>
    </row>
    <row r="94" spans="1:13" ht="15.75" customHeight="1" x14ac:dyDescent="0.25">
      <c r="A94" s="390">
        <v>43374</v>
      </c>
      <c r="B94" s="354" t="s">
        <v>99</v>
      </c>
      <c r="C94" s="57" t="s">
        <v>31</v>
      </c>
      <c r="D94" s="57" t="s">
        <v>30</v>
      </c>
      <c r="E94" s="57" t="s">
        <v>81</v>
      </c>
      <c r="F94" s="57">
        <v>85</v>
      </c>
      <c r="G94" s="57">
        <v>72</v>
      </c>
      <c r="H94" s="485"/>
      <c r="I94" s="57">
        <v>706</v>
      </c>
      <c r="J94" s="485"/>
      <c r="K94" s="296" t="s">
        <v>149</v>
      </c>
      <c r="L94" s="297" t="s">
        <v>150</v>
      </c>
      <c r="M94" s="239"/>
    </row>
    <row r="95" spans="1:13" ht="15.75" customHeight="1" x14ac:dyDescent="0.25">
      <c r="A95" s="390">
        <v>43374</v>
      </c>
      <c r="B95" s="354" t="s">
        <v>99</v>
      </c>
      <c r="C95" s="57" t="s">
        <v>31</v>
      </c>
      <c r="D95" s="57" t="s">
        <v>30</v>
      </c>
      <c r="E95" s="57" t="s">
        <v>81</v>
      </c>
      <c r="F95" s="57">
        <v>87</v>
      </c>
      <c r="G95" s="57">
        <v>72</v>
      </c>
      <c r="H95" s="485"/>
      <c r="I95" s="57">
        <v>706</v>
      </c>
      <c r="J95" s="485"/>
      <c r="K95" s="296" t="s">
        <v>149</v>
      </c>
      <c r="L95" s="297" t="s">
        <v>150</v>
      </c>
      <c r="M95" s="239"/>
    </row>
    <row r="96" spans="1:13" ht="15.75" customHeight="1" x14ac:dyDescent="0.25">
      <c r="A96" s="390">
        <v>43374</v>
      </c>
      <c r="B96" s="354" t="s">
        <v>99</v>
      </c>
      <c r="C96" s="57" t="s">
        <v>31</v>
      </c>
      <c r="D96" s="57" t="s">
        <v>30</v>
      </c>
      <c r="E96" s="57" t="s">
        <v>81</v>
      </c>
      <c r="F96" s="57">
        <v>88</v>
      </c>
      <c r="G96" s="57">
        <v>144</v>
      </c>
      <c r="H96" s="486"/>
      <c r="I96" s="57">
        <v>1412</v>
      </c>
      <c r="J96" s="485"/>
      <c r="K96" s="296" t="s">
        <v>149</v>
      </c>
      <c r="L96" s="297" t="s">
        <v>150</v>
      </c>
      <c r="M96" s="239"/>
    </row>
    <row r="97" spans="1:13" ht="15.75" customHeight="1" x14ac:dyDescent="0.25">
      <c r="A97" s="390">
        <v>43374</v>
      </c>
      <c r="B97" s="354" t="s">
        <v>100</v>
      </c>
      <c r="C97" s="57" t="s">
        <v>31</v>
      </c>
      <c r="D97" s="57" t="s">
        <v>30</v>
      </c>
      <c r="E97" s="57" t="s">
        <v>81</v>
      </c>
      <c r="F97" s="57">
        <v>84</v>
      </c>
      <c r="G97" s="57">
        <v>72</v>
      </c>
      <c r="H97" s="484">
        <f>SUM(I97:I100)</f>
        <v>3520</v>
      </c>
      <c r="I97" s="57">
        <v>704</v>
      </c>
      <c r="J97" s="485"/>
      <c r="K97" s="296" t="s">
        <v>149</v>
      </c>
      <c r="L97" s="297" t="s">
        <v>150</v>
      </c>
      <c r="M97" s="239"/>
    </row>
    <row r="98" spans="1:13" ht="15.75" customHeight="1" x14ac:dyDescent="0.25">
      <c r="A98" s="390">
        <v>43374</v>
      </c>
      <c r="B98" s="354" t="s">
        <v>100</v>
      </c>
      <c r="C98" s="57" t="s">
        <v>31</v>
      </c>
      <c r="D98" s="57" t="s">
        <v>30</v>
      </c>
      <c r="E98" s="57" t="s">
        <v>81</v>
      </c>
      <c r="F98" s="57">
        <v>85</v>
      </c>
      <c r="G98" s="57">
        <v>36</v>
      </c>
      <c r="H98" s="485"/>
      <c r="I98" s="57">
        <v>352</v>
      </c>
      <c r="J98" s="485"/>
      <c r="K98" s="296" t="s">
        <v>149</v>
      </c>
      <c r="L98" s="297" t="s">
        <v>150</v>
      </c>
      <c r="M98" s="239"/>
    </row>
    <row r="99" spans="1:13" ht="15.75" customHeight="1" x14ac:dyDescent="0.25">
      <c r="A99" s="390">
        <v>43374</v>
      </c>
      <c r="B99" s="354" t="s">
        <v>100</v>
      </c>
      <c r="C99" s="57" t="s">
        <v>31</v>
      </c>
      <c r="D99" s="57" t="s">
        <v>30</v>
      </c>
      <c r="E99" s="57" t="s">
        <v>81</v>
      </c>
      <c r="F99" s="57">
        <v>87</v>
      </c>
      <c r="G99" s="57">
        <v>108</v>
      </c>
      <c r="H99" s="485"/>
      <c r="I99" s="57">
        <v>1056</v>
      </c>
      <c r="J99" s="485"/>
      <c r="K99" s="296" t="s">
        <v>149</v>
      </c>
      <c r="L99" s="297" t="s">
        <v>150</v>
      </c>
      <c r="M99" s="239"/>
    </row>
    <row r="100" spans="1:13" ht="15.75" customHeight="1" x14ac:dyDescent="0.25">
      <c r="A100" s="390">
        <v>43374</v>
      </c>
      <c r="B100" s="354" t="s">
        <v>100</v>
      </c>
      <c r="C100" s="57" t="s">
        <v>31</v>
      </c>
      <c r="D100" s="57" t="s">
        <v>30</v>
      </c>
      <c r="E100" s="57" t="s">
        <v>81</v>
      </c>
      <c r="F100" s="57">
        <v>88</v>
      </c>
      <c r="G100" s="57">
        <v>144</v>
      </c>
      <c r="H100" s="486"/>
      <c r="I100" s="57">
        <v>1408</v>
      </c>
      <c r="J100" s="485"/>
      <c r="K100" s="296" t="s">
        <v>149</v>
      </c>
      <c r="L100" s="297" t="s">
        <v>150</v>
      </c>
      <c r="M100" s="239"/>
    </row>
    <row r="101" spans="1:13" ht="15.75" customHeight="1" x14ac:dyDescent="0.25">
      <c r="A101" s="390">
        <v>43374</v>
      </c>
      <c r="B101" s="354" t="s">
        <v>101</v>
      </c>
      <c r="C101" s="57" t="s">
        <v>31</v>
      </c>
      <c r="D101" s="57" t="s">
        <v>30</v>
      </c>
      <c r="E101" s="57" t="s">
        <v>81</v>
      </c>
      <c r="F101" s="57">
        <v>84</v>
      </c>
      <c r="G101" s="57">
        <v>72</v>
      </c>
      <c r="H101" s="484">
        <f>SUM(I101:I104)</f>
        <v>3480</v>
      </c>
      <c r="I101" s="57">
        <v>696</v>
      </c>
      <c r="J101" s="485"/>
      <c r="K101" s="296" t="s">
        <v>149</v>
      </c>
      <c r="L101" s="297" t="s">
        <v>150</v>
      </c>
      <c r="M101" s="239"/>
    </row>
    <row r="102" spans="1:13" ht="15.75" customHeight="1" x14ac:dyDescent="0.25">
      <c r="A102" s="390">
        <v>43374</v>
      </c>
      <c r="B102" s="354" t="s">
        <v>101</v>
      </c>
      <c r="C102" s="57" t="s">
        <v>31</v>
      </c>
      <c r="D102" s="57" t="s">
        <v>30</v>
      </c>
      <c r="E102" s="57" t="s">
        <v>81</v>
      </c>
      <c r="F102" s="57">
        <v>85</v>
      </c>
      <c r="G102" s="57">
        <v>36</v>
      </c>
      <c r="H102" s="485"/>
      <c r="I102" s="57">
        <v>348</v>
      </c>
      <c r="J102" s="485"/>
      <c r="K102" s="296" t="s">
        <v>149</v>
      </c>
      <c r="L102" s="297" t="s">
        <v>150</v>
      </c>
      <c r="M102" s="239"/>
    </row>
    <row r="103" spans="1:13" ht="15.75" customHeight="1" x14ac:dyDescent="0.25">
      <c r="A103" s="390">
        <v>43374</v>
      </c>
      <c r="B103" s="354" t="s">
        <v>101</v>
      </c>
      <c r="C103" s="57" t="s">
        <v>31</v>
      </c>
      <c r="D103" s="57" t="s">
        <v>30</v>
      </c>
      <c r="E103" s="57" t="s">
        <v>81</v>
      </c>
      <c r="F103" s="57">
        <v>87</v>
      </c>
      <c r="G103" s="57">
        <v>108</v>
      </c>
      <c r="H103" s="485"/>
      <c r="I103" s="57">
        <v>1044</v>
      </c>
      <c r="J103" s="485"/>
      <c r="K103" s="296" t="s">
        <v>149</v>
      </c>
      <c r="L103" s="297" t="s">
        <v>150</v>
      </c>
      <c r="M103" s="239"/>
    </row>
    <row r="104" spans="1:13" ht="15.75" customHeight="1" x14ac:dyDescent="0.25">
      <c r="A104" s="390">
        <v>43374</v>
      </c>
      <c r="B104" s="354" t="s">
        <v>101</v>
      </c>
      <c r="C104" s="57" t="s">
        <v>31</v>
      </c>
      <c r="D104" s="57" t="s">
        <v>30</v>
      </c>
      <c r="E104" s="57" t="s">
        <v>81</v>
      </c>
      <c r="F104" s="57">
        <v>88</v>
      </c>
      <c r="G104" s="57">
        <v>144</v>
      </c>
      <c r="H104" s="486"/>
      <c r="I104" s="57">
        <v>1392</v>
      </c>
      <c r="J104" s="485"/>
      <c r="K104" s="296" t="s">
        <v>149</v>
      </c>
      <c r="L104" s="297" t="s">
        <v>150</v>
      </c>
      <c r="M104" s="239"/>
    </row>
    <row r="105" spans="1:13" ht="15.75" customHeight="1" x14ac:dyDescent="0.25">
      <c r="A105" s="390">
        <v>43374</v>
      </c>
      <c r="B105" s="354" t="s">
        <v>102</v>
      </c>
      <c r="C105" s="57" t="s">
        <v>31</v>
      </c>
      <c r="D105" s="57" t="s">
        <v>30</v>
      </c>
      <c r="E105" s="57" t="s">
        <v>81</v>
      </c>
      <c r="F105" s="57">
        <v>84</v>
      </c>
      <c r="G105" s="57">
        <v>72</v>
      </c>
      <c r="H105" s="484">
        <f>SUM(I105:I106)</f>
        <v>2840</v>
      </c>
      <c r="I105" s="57">
        <v>710</v>
      </c>
      <c r="J105" s="485"/>
      <c r="K105" s="296" t="s">
        <v>149</v>
      </c>
      <c r="L105" s="297" t="s">
        <v>150</v>
      </c>
      <c r="M105" s="239"/>
    </row>
    <row r="106" spans="1:13" ht="15.75" customHeight="1" x14ac:dyDescent="0.25">
      <c r="A106" s="390">
        <v>43374</v>
      </c>
      <c r="B106" s="354" t="s">
        <v>102</v>
      </c>
      <c r="C106" s="57" t="s">
        <v>31</v>
      </c>
      <c r="D106" s="57" t="s">
        <v>30</v>
      </c>
      <c r="E106" s="57" t="s">
        <v>81</v>
      </c>
      <c r="F106" s="57">
        <v>88</v>
      </c>
      <c r="G106" s="57">
        <v>216</v>
      </c>
      <c r="H106" s="486"/>
      <c r="I106" s="57">
        <v>2130</v>
      </c>
      <c r="J106" s="485"/>
      <c r="K106" s="296" t="s">
        <v>149</v>
      </c>
      <c r="L106" s="297" t="s">
        <v>150</v>
      </c>
      <c r="M106" s="239"/>
    </row>
    <row r="107" spans="1:13" ht="15.75" customHeight="1" x14ac:dyDescent="0.25">
      <c r="A107" s="390">
        <v>43374</v>
      </c>
      <c r="B107" s="354" t="s">
        <v>103</v>
      </c>
      <c r="C107" s="57" t="s">
        <v>31</v>
      </c>
      <c r="D107" s="57" t="s">
        <v>30</v>
      </c>
      <c r="E107" s="57" t="s">
        <v>81</v>
      </c>
      <c r="F107" s="57">
        <v>84</v>
      </c>
      <c r="G107" s="57">
        <v>36</v>
      </c>
      <c r="H107" s="484">
        <f>SUM(I107:I110)</f>
        <v>2860</v>
      </c>
      <c r="I107" s="57">
        <v>357.5</v>
      </c>
      <c r="J107" s="485"/>
      <c r="K107" s="296" t="s">
        <v>149</v>
      </c>
      <c r="L107" s="297" t="s">
        <v>150</v>
      </c>
      <c r="M107" s="239"/>
    </row>
    <row r="108" spans="1:13" ht="15.75" customHeight="1" x14ac:dyDescent="0.25">
      <c r="A108" s="390">
        <v>43374</v>
      </c>
      <c r="B108" s="354" t="s">
        <v>103</v>
      </c>
      <c r="C108" s="57" t="s">
        <v>31</v>
      </c>
      <c r="D108" s="57" t="s">
        <v>30</v>
      </c>
      <c r="E108" s="57" t="s">
        <v>81</v>
      </c>
      <c r="F108" s="57">
        <v>85</v>
      </c>
      <c r="G108" s="57">
        <v>72</v>
      </c>
      <c r="H108" s="485"/>
      <c r="I108" s="57">
        <v>715</v>
      </c>
      <c r="J108" s="485"/>
      <c r="K108" s="296" t="s">
        <v>149</v>
      </c>
      <c r="L108" s="297" t="s">
        <v>150</v>
      </c>
      <c r="M108" s="239"/>
    </row>
    <row r="109" spans="1:13" ht="15.75" customHeight="1" x14ac:dyDescent="0.25">
      <c r="A109" s="390">
        <v>43374</v>
      </c>
      <c r="B109" s="354" t="s">
        <v>103</v>
      </c>
      <c r="C109" s="57" t="s">
        <v>31</v>
      </c>
      <c r="D109" s="57" t="s">
        <v>30</v>
      </c>
      <c r="E109" s="57" t="s">
        <v>81</v>
      </c>
      <c r="F109" s="57">
        <v>87</v>
      </c>
      <c r="G109" s="57">
        <v>72</v>
      </c>
      <c r="H109" s="485"/>
      <c r="I109" s="57">
        <v>715</v>
      </c>
      <c r="J109" s="485"/>
      <c r="K109" s="296" t="s">
        <v>149</v>
      </c>
      <c r="L109" s="297" t="s">
        <v>150</v>
      </c>
      <c r="M109" s="239"/>
    </row>
    <row r="110" spans="1:13" ht="15.75" customHeight="1" x14ac:dyDescent="0.25">
      <c r="A110" s="390">
        <v>43374</v>
      </c>
      <c r="B110" s="354" t="s">
        <v>103</v>
      </c>
      <c r="C110" s="57" t="s">
        <v>31</v>
      </c>
      <c r="D110" s="57" t="s">
        <v>30</v>
      </c>
      <c r="E110" s="57" t="s">
        <v>81</v>
      </c>
      <c r="F110" s="57">
        <v>88</v>
      </c>
      <c r="G110" s="57">
        <v>108</v>
      </c>
      <c r="H110" s="486"/>
      <c r="I110" s="57">
        <v>1072.5</v>
      </c>
      <c r="J110" s="486"/>
      <c r="K110" s="296" t="s">
        <v>149</v>
      </c>
      <c r="L110" s="297" t="s">
        <v>150</v>
      </c>
      <c r="M110" s="239"/>
    </row>
    <row r="111" spans="1:13" ht="15.75" customHeight="1" x14ac:dyDescent="0.25">
      <c r="A111" s="390">
        <v>43374</v>
      </c>
      <c r="B111" s="355" t="s">
        <v>104</v>
      </c>
      <c r="C111" s="58" t="s">
        <v>31</v>
      </c>
      <c r="D111" s="58" t="s">
        <v>30</v>
      </c>
      <c r="E111" s="58" t="s">
        <v>81</v>
      </c>
      <c r="F111" s="58">
        <v>84</v>
      </c>
      <c r="G111" s="58">
        <v>36</v>
      </c>
      <c r="H111" s="476">
        <f>SUM(I111:I114)</f>
        <v>3520</v>
      </c>
      <c r="I111" s="58">
        <v>352</v>
      </c>
      <c r="J111" s="476">
        <f>SUM(H111:H128)</f>
        <v>15510</v>
      </c>
      <c r="K111" s="305" t="s">
        <v>151</v>
      </c>
      <c r="L111" s="306" t="s">
        <v>150</v>
      </c>
      <c r="M111" s="239"/>
    </row>
    <row r="112" spans="1:13" ht="15.75" customHeight="1" x14ac:dyDescent="0.25">
      <c r="A112" s="390">
        <v>43374</v>
      </c>
      <c r="B112" s="355" t="s">
        <v>104</v>
      </c>
      <c r="C112" s="58" t="s">
        <v>31</v>
      </c>
      <c r="D112" s="58" t="s">
        <v>30</v>
      </c>
      <c r="E112" s="58" t="s">
        <v>81</v>
      </c>
      <c r="F112" s="58">
        <v>85</v>
      </c>
      <c r="G112" s="58">
        <v>36</v>
      </c>
      <c r="H112" s="477"/>
      <c r="I112" s="58">
        <v>352</v>
      </c>
      <c r="J112" s="477"/>
      <c r="K112" s="305" t="s">
        <v>151</v>
      </c>
      <c r="L112" s="306" t="s">
        <v>150</v>
      </c>
      <c r="M112" s="239"/>
    </row>
    <row r="113" spans="1:13" ht="15.75" customHeight="1" x14ac:dyDescent="0.25">
      <c r="A113" s="390">
        <v>43374</v>
      </c>
      <c r="B113" s="355" t="s">
        <v>104</v>
      </c>
      <c r="C113" s="58" t="s">
        <v>31</v>
      </c>
      <c r="D113" s="58" t="s">
        <v>30</v>
      </c>
      <c r="E113" s="58" t="s">
        <v>81</v>
      </c>
      <c r="F113" s="58">
        <v>87</v>
      </c>
      <c r="G113" s="58">
        <v>108</v>
      </c>
      <c r="H113" s="477"/>
      <c r="I113" s="58">
        <v>1056</v>
      </c>
      <c r="J113" s="477"/>
      <c r="K113" s="305" t="s">
        <v>151</v>
      </c>
      <c r="L113" s="306" t="s">
        <v>150</v>
      </c>
      <c r="M113" s="239"/>
    </row>
    <row r="114" spans="1:13" ht="15.75" customHeight="1" x14ac:dyDescent="0.25">
      <c r="A114" s="390">
        <v>43374</v>
      </c>
      <c r="B114" s="355" t="s">
        <v>104</v>
      </c>
      <c r="C114" s="58" t="s">
        <v>31</v>
      </c>
      <c r="D114" s="58" t="s">
        <v>30</v>
      </c>
      <c r="E114" s="58" t="s">
        <v>81</v>
      </c>
      <c r="F114" s="58">
        <v>88</v>
      </c>
      <c r="G114" s="58">
        <v>180</v>
      </c>
      <c r="H114" s="478"/>
      <c r="I114" s="58">
        <v>1760</v>
      </c>
      <c r="J114" s="477"/>
      <c r="K114" s="305" t="s">
        <v>151</v>
      </c>
      <c r="L114" s="306" t="s">
        <v>150</v>
      </c>
      <c r="M114" s="239"/>
    </row>
    <row r="115" spans="1:13" ht="15.75" customHeight="1" x14ac:dyDescent="0.25">
      <c r="A115" s="390">
        <v>43374</v>
      </c>
      <c r="B115" s="355" t="s">
        <v>105</v>
      </c>
      <c r="C115" s="58" t="s">
        <v>31</v>
      </c>
      <c r="D115" s="58" t="s">
        <v>30</v>
      </c>
      <c r="E115" s="58" t="s">
        <v>81</v>
      </c>
      <c r="F115" s="58">
        <v>84</v>
      </c>
      <c r="G115" s="58">
        <v>72</v>
      </c>
      <c r="H115" s="476">
        <f>SUM(I115:I118)</f>
        <v>2750</v>
      </c>
      <c r="I115" s="58">
        <v>687.4</v>
      </c>
      <c r="J115" s="477"/>
      <c r="K115" s="305" t="s">
        <v>151</v>
      </c>
      <c r="L115" s="306" t="s">
        <v>150</v>
      </c>
      <c r="M115" s="239"/>
    </row>
    <row r="116" spans="1:13" ht="15.75" customHeight="1" x14ac:dyDescent="0.25">
      <c r="A116" s="390">
        <v>43374</v>
      </c>
      <c r="B116" s="355" t="s">
        <v>105</v>
      </c>
      <c r="C116" s="58" t="s">
        <v>31</v>
      </c>
      <c r="D116" s="58" t="s">
        <v>30</v>
      </c>
      <c r="E116" s="58" t="s">
        <v>81</v>
      </c>
      <c r="F116" s="58">
        <v>85</v>
      </c>
      <c r="G116" s="58">
        <v>36</v>
      </c>
      <c r="H116" s="477"/>
      <c r="I116" s="58">
        <v>343.7</v>
      </c>
      <c r="J116" s="477"/>
      <c r="K116" s="305" t="s">
        <v>151</v>
      </c>
      <c r="L116" s="306" t="s">
        <v>150</v>
      </c>
      <c r="M116" s="239"/>
    </row>
    <row r="117" spans="1:13" ht="15.75" customHeight="1" x14ac:dyDescent="0.25">
      <c r="A117" s="390">
        <v>43374</v>
      </c>
      <c r="B117" s="355" t="s">
        <v>105</v>
      </c>
      <c r="C117" s="58" t="s">
        <v>31</v>
      </c>
      <c r="D117" s="58" t="s">
        <v>30</v>
      </c>
      <c r="E117" s="58" t="s">
        <v>81</v>
      </c>
      <c r="F117" s="58">
        <v>87</v>
      </c>
      <c r="G117" s="58">
        <v>72</v>
      </c>
      <c r="H117" s="477"/>
      <c r="I117" s="58">
        <v>687.4</v>
      </c>
      <c r="J117" s="477"/>
      <c r="K117" s="305" t="s">
        <v>151</v>
      </c>
      <c r="L117" s="306" t="s">
        <v>150</v>
      </c>
      <c r="M117" s="239"/>
    </row>
    <row r="118" spans="1:13" ht="15.75" customHeight="1" x14ac:dyDescent="0.25">
      <c r="A118" s="390">
        <v>43374</v>
      </c>
      <c r="B118" s="355" t="s">
        <v>105</v>
      </c>
      <c r="C118" s="58" t="s">
        <v>31</v>
      </c>
      <c r="D118" s="58" t="s">
        <v>30</v>
      </c>
      <c r="E118" s="58" t="s">
        <v>81</v>
      </c>
      <c r="F118" s="58">
        <v>88</v>
      </c>
      <c r="G118" s="58">
        <v>108</v>
      </c>
      <c r="H118" s="478"/>
      <c r="I118" s="58">
        <v>1031.5</v>
      </c>
      <c r="J118" s="477"/>
      <c r="K118" s="305" t="s">
        <v>151</v>
      </c>
      <c r="L118" s="306" t="s">
        <v>150</v>
      </c>
      <c r="M118" s="239"/>
    </row>
    <row r="119" spans="1:13" ht="15.75" customHeight="1" x14ac:dyDescent="0.25">
      <c r="A119" s="390">
        <v>43374</v>
      </c>
      <c r="B119" s="355" t="s">
        <v>106</v>
      </c>
      <c r="C119" s="58" t="s">
        <v>31</v>
      </c>
      <c r="D119" s="58" t="s">
        <v>30</v>
      </c>
      <c r="E119" s="58" t="s">
        <v>81</v>
      </c>
      <c r="F119" s="58">
        <v>87</v>
      </c>
      <c r="G119" s="58">
        <v>36</v>
      </c>
      <c r="H119" s="476">
        <f>SUM(I119:I120)</f>
        <v>2890</v>
      </c>
      <c r="I119" s="58">
        <v>361.2</v>
      </c>
      <c r="J119" s="477"/>
      <c r="K119" s="305" t="s">
        <v>151</v>
      </c>
      <c r="L119" s="306" t="s">
        <v>150</v>
      </c>
      <c r="M119" s="239"/>
    </row>
    <row r="120" spans="1:13" ht="15.75" customHeight="1" x14ac:dyDescent="0.25">
      <c r="A120" s="390">
        <v>43374</v>
      </c>
      <c r="B120" s="355" t="s">
        <v>106</v>
      </c>
      <c r="C120" s="58" t="s">
        <v>31</v>
      </c>
      <c r="D120" s="58" t="s">
        <v>30</v>
      </c>
      <c r="E120" s="58" t="s">
        <v>81</v>
      </c>
      <c r="F120" s="58">
        <v>88</v>
      </c>
      <c r="G120" s="58">
        <v>252</v>
      </c>
      <c r="H120" s="478"/>
      <c r="I120" s="58">
        <v>2528.8000000000002</v>
      </c>
      <c r="J120" s="477"/>
      <c r="K120" s="305" t="s">
        <v>151</v>
      </c>
      <c r="L120" s="306" t="s">
        <v>150</v>
      </c>
      <c r="M120" s="239"/>
    </row>
    <row r="121" spans="1:13" ht="15.75" customHeight="1" x14ac:dyDescent="0.25">
      <c r="A121" s="390">
        <v>43374</v>
      </c>
      <c r="B121" s="355" t="s">
        <v>107</v>
      </c>
      <c r="C121" s="58" t="s">
        <v>31</v>
      </c>
      <c r="D121" s="58" t="s">
        <v>30</v>
      </c>
      <c r="E121" s="58" t="s">
        <v>81</v>
      </c>
      <c r="F121" s="58">
        <v>84</v>
      </c>
      <c r="G121" s="58">
        <v>108</v>
      </c>
      <c r="H121" s="476">
        <f>SUM(I121:I124)</f>
        <v>3490</v>
      </c>
      <c r="I121" s="58">
        <v>1047</v>
      </c>
      <c r="J121" s="477"/>
      <c r="K121" s="305" t="s">
        <v>151</v>
      </c>
      <c r="L121" s="306" t="s">
        <v>150</v>
      </c>
      <c r="M121" s="239"/>
    </row>
    <row r="122" spans="1:13" ht="15.75" customHeight="1" x14ac:dyDescent="0.25">
      <c r="A122" s="390">
        <v>43374</v>
      </c>
      <c r="B122" s="355" t="s">
        <v>107</v>
      </c>
      <c r="C122" s="58" t="s">
        <v>31</v>
      </c>
      <c r="D122" s="58" t="s">
        <v>30</v>
      </c>
      <c r="E122" s="58" t="s">
        <v>81</v>
      </c>
      <c r="F122" s="58">
        <v>85</v>
      </c>
      <c r="G122" s="58">
        <v>72</v>
      </c>
      <c r="H122" s="477"/>
      <c r="I122" s="58">
        <v>698</v>
      </c>
      <c r="J122" s="477"/>
      <c r="K122" s="305" t="s">
        <v>151</v>
      </c>
      <c r="L122" s="306" t="s">
        <v>150</v>
      </c>
      <c r="M122" s="239"/>
    </row>
    <row r="123" spans="1:13" ht="15.75" customHeight="1" x14ac:dyDescent="0.25">
      <c r="A123" s="390">
        <v>43374</v>
      </c>
      <c r="B123" s="355" t="s">
        <v>107</v>
      </c>
      <c r="C123" s="58" t="s">
        <v>31</v>
      </c>
      <c r="D123" s="58" t="s">
        <v>30</v>
      </c>
      <c r="E123" s="58" t="s">
        <v>81</v>
      </c>
      <c r="F123" s="58">
        <v>87</v>
      </c>
      <c r="G123" s="58">
        <v>72</v>
      </c>
      <c r="H123" s="477"/>
      <c r="I123" s="58">
        <v>698</v>
      </c>
      <c r="J123" s="477"/>
      <c r="K123" s="305" t="s">
        <v>151</v>
      </c>
      <c r="L123" s="306" t="s">
        <v>150</v>
      </c>
      <c r="M123" s="239"/>
    </row>
    <row r="124" spans="1:13" ht="15.75" customHeight="1" x14ac:dyDescent="0.25">
      <c r="A124" s="390">
        <v>43374</v>
      </c>
      <c r="B124" s="355" t="s">
        <v>107</v>
      </c>
      <c r="C124" s="58" t="s">
        <v>31</v>
      </c>
      <c r="D124" s="58" t="s">
        <v>30</v>
      </c>
      <c r="E124" s="58" t="s">
        <v>81</v>
      </c>
      <c r="F124" s="58">
        <v>88</v>
      </c>
      <c r="G124" s="58">
        <v>108</v>
      </c>
      <c r="H124" s="478"/>
      <c r="I124" s="58">
        <v>1047</v>
      </c>
      <c r="J124" s="477"/>
      <c r="K124" s="305" t="s">
        <v>151</v>
      </c>
      <c r="L124" s="306" t="s">
        <v>150</v>
      </c>
      <c r="M124" s="239"/>
    </row>
    <row r="125" spans="1:13" ht="15.75" customHeight="1" x14ac:dyDescent="0.25">
      <c r="A125" s="390">
        <v>43374</v>
      </c>
      <c r="B125" s="355" t="s">
        <v>108</v>
      </c>
      <c r="C125" s="58" t="s">
        <v>31</v>
      </c>
      <c r="D125" s="58" t="s">
        <v>30</v>
      </c>
      <c r="E125" s="58" t="s">
        <v>81</v>
      </c>
      <c r="F125" s="58">
        <v>84</v>
      </c>
      <c r="G125" s="58">
        <v>108</v>
      </c>
      <c r="H125" s="476">
        <f>SUM(I125:I128)</f>
        <v>2860</v>
      </c>
      <c r="I125" s="58">
        <v>1072.5</v>
      </c>
      <c r="J125" s="477"/>
      <c r="K125" s="305" t="s">
        <v>151</v>
      </c>
      <c r="L125" s="306" t="s">
        <v>150</v>
      </c>
      <c r="M125" s="239"/>
    </row>
    <row r="126" spans="1:13" ht="15.75" customHeight="1" x14ac:dyDescent="0.25">
      <c r="A126" s="390">
        <v>43374</v>
      </c>
      <c r="B126" s="355" t="s">
        <v>108</v>
      </c>
      <c r="C126" s="58" t="s">
        <v>31</v>
      </c>
      <c r="D126" s="58" t="s">
        <v>30</v>
      </c>
      <c r="E126" s="58" t="s">
        <v>81</v>
      </c>
      <c r="F126" s="58">
        <v>85</v>
      </c>
      <c r="G126" s="58">
        <v>36</v>
      </c>
      <c r="H126" s="477"/>
      <c r="I126" s="58">
        <v>357.5</v>
      </c>
      <c r="J126" s="477"/>
      <c r="K126" s="305" t="s">
        <v>151</v>
      </c>
      <c r="L126" s="306" t="s">
        <v>150</v>
      </c>
      <c r="M126" s="239"/>
    </row>
    <row r="127" spans="1:13" ht="15.75" customHeight="1" x14ac:dyDescent="0.25">
      <c r="A127" s="390">
        <v>43374</v>
      </c>
      <c r="B127" s="355" t="s">
        <v>108</v>
      </c>
      <c r="C127" s="58" t="s">
        <v>31</v>
      </c>
      <c r="D127" s="58" t="s">
        <v>30</v>
      </c>
      <c r="E127" s="58" t="s">
        <v>81</v>
      </c>
      <c r="F127" s="58">
        <v>87</v>
      </c>
      <c r="G127" s="58">
        <v>108</v>
      </c>
      <c r="H127" s="477"/>
      <c r="I127" s="58">
        <v>1072.5</v>
      </c>
      <c r="J127" s="477"/>
      <c r="K127" s="305" t="s">
        <v>151</v>
      </c>
      <c r="L127" s="306" t="s">
        <v>150</v>
      </c>
      <c r="M127" s="239"/>
    </row>
    <row r="128" spans="1:13" ht="15.75" customHeight="1" x14ac:dyDescent="0.25">
      <c r="A128" s="390">
        <v>43374</v>
      </c>
      <c r="B128" s="355" t="s">
        <v>108</v>
      </c>
      <c r="C128" s="58" t="s">
        <v>31</v>
      </c>
      <c r="D128" s="58" t="s">
        <v>30</v>
      </c>
      <c r="E128" s="58" t="s">
        <v>81</v>
      </c>
      <c r="F128" s="58">
        <v>88</v>
      </c>
      <c r="G128" s="58">
        <v>36</v>
      </c>
      <c r="H128" s="478"/>
      <c r="I128" s="58">
        <v>357.5</v>
      </c>
      <c r="J128" s="478"/>
      <c r="K128" s="305" t="s">
        <v>151</v>
      </c>
      <c r="L128" s="306" t="s">
        <v>150</v>
      </c>
      <c r="M128" s="239"/>
    </row>
    <row r="129" spans="1:13" ht="15.75" customHeight="1" x14ac:dyDescent="0.3">
      <c r="A129" s="390">
        <v>43374</v>
      </c>
      <c r="B129" s="59" t="s">
        <v>109</v>
      </c>
      <c r="C129" s="44" t="s">
        <v>31</v>
      </c>
      <c r="D129" s="44" t="s">
        <v>30</v>
      </c>
      <c r="E129" s="44" t="s">
        <v>81</v>
      </c>
      <c r="F129" s="44">
        <v>88</v>
      </c>
      <c r="G129" s="44">
        <v>360</v>
      </c>
      <c r="H129" s="45">
        <v>3470</v>
      </c>
      <c r="I129" s="44">
        <v>3470</v>
      </c>
      <c r="J129" s="60"/>
      <c r="K129" s="322"/>
      <c r="L129" s="323"/>
    </row>
    <row r="130" spans="1:13" ht="15.75" customHeight="1" x14ac:dyDescent="0.3">
      <c r="A130" s="390">
        <v>43374</v>
      </c>
      <c r="B130" s="56" t="s">
        <v>110</v>
      </c>
      <c r="C130" s="48" t="s">
        <v>31</v>
      </c>
      <c r="D130" s="48" t="s">
        <v>30</v>
      </c>
      <c r="E130" s="44" t="s">
        <v>81</v>
      </c>
      <c r="F130" s="44">
        <v>88</v>
      </c>
      <c r="G130" s="44">
        <v>360</v>
      </c>
      <c r="H130" s="45">
        <v>3480</v>
      </c>
      <c r="I130" s="44">
        <v>3480</v>
      </c>
      <c r="J130" s="61"/>
      <c r="K130" s="194"/>
      <c r="L130" s="228"/>
    </row>
    <row r="131" spans="1:13" ht="15.75" customHeight="1" x14ac:dyDescent="0.25">
      <c r="A131" s="390">
        <v>43374</v>
      </c>
      <c r="B131" s="62" t="s">
        <v>111</v>
      </c>
      <c r="C131" s="58" t="s">
        <v>31</v>
      </c>
      <c r="D131" s="58" t="s">
        <v>30</v>
      </c>
      <c r="E131" s="58" t="s">
        <v>81</v>
      </c>
      <c r="F131" s="58">
        <v>88</v>
      </c>
      <c r="G131" s="58">
        <v>288</v>
      </c>
      <c r="H131" s="63">
        <v>2630</v>
      </c>
      <c r="I131" s="63">
        <v>2630</v>
      </c>
      <c r="J131" s="63">
        <v>2630</v>
      </c>
      <c r="K131" s="195" t="s">
        <v>151</v>
      </c>
      <c r="L131" s="230" t="s">
        <v>150</v>
      </c>
      <c r="M131" s="239"/>
    </row>
    <row r="132" spans="1:13" ht="17.25" customHeight="1" x14ac:dyDescent="0.25">
      <c r="A132" s="390">
        <v>43374</v>
      </c>
      <c r="B132" s="64" t="s">
        <v>112</v>
      </c>
      <c r="C132" s="65" t="s">
        <v>31</v>
      </c>
      <c r="D132" s="65" t="s">
        <v>30</v>
      </c>
      <c r="E132" s="65" t="s">
        <v>81</v>
      </c>
      <c r="F132" s="65">
        <v>88</v>
      </c>
      <c r="G132" s="65">
        <v>288</v>
      </c>
      <c r="H132" s="66">
        <v>2800</v>
      </c>
      <c r="I132" s="65">
        <v>2800</v>
      </c>
      <c r="J132" s="67"/>
      <c r="K132" s="307" t="s">
        <v>209</v>
      </c>
      <c r="L132" s="308" t="s">
        <v>150</v>
      </c>
      <c r="M132" s="239"/>
    </row>
    <row r="133" spans="1:13" ht="15.75" customHeight="1" x14ac:dyDescent="0.25">
      <c r="A133" s="390">
        <v>43374</v>
      </c>
      <c r="B133" s="356" t="s">
        <v>113</v>
      </c>
      <c r="C133" s="65" t="s">
        <v>31</v>
      </c>
      <c r="D133" s="65" t="s">
        <v>30</v>
      </c>
      <c r="E133" s="65" t="s">
        <v>81</v>
      </c>
      <c r="F133" s="65">
        <v>84</v>
      </c>
      <c r="G133" s="65">
        <v>216</v>
      </c>
      <c r="H133" s="494">
        <f>SUM(I133:I135)</f>
        <v>3490</v>
      </c>
      <c r="I133" s="65">
        <v>2094</v>
      </c>
      <c r="J133" s="67"/>
      <c r="K133" s="307" t="s">
        <v>209</v>
      </c>
      <c r="L133" s="308" t="s">
        <v>150</v>
      </c>
      <c r="M133" s="239"/>
    </row>
    <row r="134" spans="1:13" ht="15.75" customHeight="1" x14ac:dyDescent="0.25">
      <c r="A134" s="390">
        <v>43374</v>
      </c>
      <c r="B134" s="356" t="s">
        <v>113</v>
      </c>
      <c r="C134" s="65" t="s">
        <v>31</v>
      </c>
      <c r="D134" s="65" t="s">
        <v>30</v>
      </c>
      <c r="E134" s="65" t="s">
        <v>81</v>
      </c>
      <c r="F134" s="65">
        <v>87</v>
      </c>
      <c r="G134" s="65">
        <v>72</v>
      </c>
      <c r="H134" s="496"/>
      <c r="I134" s="65">
        <v>698</v>
      </c>
      <c r="J134" s="67"/>
      <c r="K134" s="307" t="s">
        <v>209</v>
      </c>
      <c r="L134" s="308" t="s">
        <v>150</v>
      </c>
      <c r="M134" s="239"/>
    </row>
    <row r="135" spans="1:13" ht="15.75" customHeight="1" x14ac:dyDescent="0.25">
      <c r="A135" s="390">
        <v>43374</v>
      </c>
      <c r="B135" s="356" t="s">
        <v>113</v>
      </c>
      <c r="C135" s="65" t="s">
        <v>31</v>
      </c>
      <c r="D135" s="65" t="s">
        <v>30</v>
      </c>
      <c r="E135" s="65" t="s">
        <v>81</v>
      </c>
      <c r="F135" s="65">
        <v>88</v>
      </c>
      <c r="G135" s="65">
        <v>72</v>
      </c>
      <c r="H135" s="495"/>
      <c r="I135" s="65">
        <v>698</v>
      </c>
      <c r="J135" s="67"/>
      <c r="K135" s="307" t="s">
        <v>209</v>
      </c>
      <c r="L135" s="308" t="s">
        <v>150</v>
      </c>
      <c r="M135" s="239"/>
    </row>
    <row r="136" spans="1:13" ht="15.75" customHeight="1" x14ac:dyDescent="0.25">
      <c r="A136" s="390">
        <v>43374</v>
      </c>
      <c r="B136" s="356" t="s">
        <v>114</v>
      </c>
      <c r="C136" s="65" t="s">
        <v>31</v>
      </c>
      <c r="D136" s="65" t="s">
        <v>30</v>
      </c>
      <c r="E136" s="65" t="s">
        <v>81</v>
      </c>
      <c r="F136" s="65">
        <v>85</v>
      </c>
      <c r="G136" s="65">
        <v>72</v>
      </c>
      <c r="H136" s="494">
        <f>SUM(I136:I138)</f>
        <v>2880</v>
      </c>
      <c r="I136" s="65">
        <v>720</v>
      </c>
      <c r="J136" s="67"/>
      <c r="K136" s="307" t="s">
        <v>209</v>
      </c>
      <c r="L136" s="308" t="s">
        <v>150</v>
      </c>
      <c r="M136" s="239"/>
    </row>
    <row r="137" spans="1:13" ht="15.75" customHeight="1" x14ac:dyDescent="0.25">
      <c r="A137" s="390">
        <v>43374</v>
      </c>
      <c r="B137" s="356" t="s">
        <v>114</v>
      </c>
      <c r="C137" s="65" t="s">
        <v>31</v>
      </c>
      <c r="D137" s="65" t="s">
        <v>30</v>
      </c>
      <c r="E137" s="65" t="s">
        <v>81</v>
      </c>
      <c r="F137" s="65">
        <v>87</v>
      </c>
      <c r="G137" s="65">
        <v>142</v>
      </c>
      <c r="H137" s="496"/>
      <c r="I137" s="65">
        <v>1440</v>
      </c>
      <c r="J137" s="67"/>
      <c r="K137" s="307" t="s">
        <v>209</v>
      </c>
      <c r="L137" s="308" t="s">
        <v>150</v>
      </c>
      <c r="M137" s="239"/>
    </row>
    <row r="138" spans="1:13" ht="15.75" customHeight="1" x14ac:dyDescent="0.25">
      <c r="A138" s="390">
        <v>43374</v>
      </c>
      <c r="B138" s="356" t="s">
        <v>114</v>
      </c>
      <c r="C138" s="65" t="s">
        <v>31</v>
      </c>
      <c r="D138" s="65" t="s">
        <v>30</v>
      </c>
      <c r="E138" s="65" t="s">
        <v>81</v>
      </c>
      <c r="F138" s="65">
        <v>88</v>
      </c>
      <c r="G138" s="65">
        <v>72</v>
      </c>
      <c r="H138" s="495"/>
      <c r="I138" s="65">
        <v>720</v>
      </c>
      <c r="J138" s="67"/>
      <c r="K138" s="307" t="s">
        <v>209</v>
      </c>
      <c r="L138" s="308" t="s">
        <v>150</v>
      </c>
      <c r="M138" s="239"/>
    </row>
    <row r="139" spans="1:13" ht="15.75" customHeight="1" x14ac:dyDescent="0.25">
      <c r="A139" s="390">
        <v>43374</v>
      </c>
      <c r="B139" s="356" t="s">
        <v>115</v>
      </c>
      <c r="C139" s="65" t="s">
        <v>31</v>
      </c>
      <c r="D139" s="65" t="s">
        <v>30</v>
      </c>
      <c r="E139" s="65" t="s">
        <v>81</v>
      </c>
      <c r="F139" s="65">
        <v>84</v>
      </c>
      <c r="G139" s="65">
        <v>108</v>
      </c>
      <c r="H139" s="494">
        <f>SUM(I139:I140)</f>
        <v>3020</v>
      </c>
      <c r="I139" s="65">
        <v>1132.5</v>
      </c>
      <c r="J139" s="67"/>
      <c r="K139" s="307" t="s">
        <v>209</v>
      </c>
      <c r="L139" s="308" t="s">
        <v>150</v>
      </c>
      <c r="M139" s="239"/>
    </row>
    <row r="140" spans="1:13" ht="15.75" customHeight="1" x14ac:dyDescent="0.25">
      <c r="A140" s="390">
        <v>43374</v>
      </c>
      <c r="B140" s="356" t="s">
        <v>115</v>
      </c>
      <c r="C140" s="65" t="s">
        <v>31</v>
      </c>
      <c r="D140" s="65" t="s">
        <v>30</v>
      </c>
      <c r="E140" s="65" t="s">
        <v>81</v>
      </c>
      <c r="F140" s="65">
        <v>88</v>
      </c>
      <c r="G140" s="65">
        <v>180</v>
      </c>
      <c r="H140" s="495"/>
      <c r="I140" s="65">
        <v>1887.5</v>
      </c>
      <c r="J140" s="67"/>
      <c r="K140" s="307" t="s">
        <v>209</v>
      </c>
      <c r="L140" s="308" t="s">
        <v>150</v>
      </c>
      <c r="M140" s="239"/>
    </row>
    <row r="141" spans="1:13" ht="15.75" customHeight="1" x14ac:dyDescent="0.25">
      <c r="A141" s="390">
        <v>43374</v>
      </c>
      <c r="B141" s="356" t="s">
        <v>116</v>
      </c>
      <c r="C141" s="65" t="s">
        <v>31</v>
      </c>
      <c r="D141" s="65" t="s">
        <v>30</v>
      </c>
      <c r="E141" s="65" t="s">
        <v>81</v>
      </c>
      <c r="F141" s="65">
        <v>85</v>
      </c>
      <c r="G141" s="65">
        <v>36</v>
      </c>
      <c r="H141" s="494">
        <f>SUM(I141:I143)</f>
        <v>2850</v>
      </c>
      <c r="I141" s="65">
        <v>356.25</v>
      </c>
      <c r="J141" s="67"/>
      <c r="K141" s="307" t="s">
        <v>209</v>
      </c>
      <c r="L141" s="308" t="s">
        <v>150</v>
      </c>
      <c r="M141" s="239"/>
    </row>
    <row r="142" spans="1:13" ht="15.75" customHeight="1" x14ac:dyDescent="0.25">
      <c r="A142" s="390">
        <v>43374</v>
      </c>
      <c r="B142" s="356" t="s">
        <v>116</v>
      </c>
      <c r="C142" s="65" t="s">
        <v>31</v>
      </c>
      <c r="D142" s="65" t="s">
        <v>30</v>
      </c>
      <c r="E142" s="65" t="s">
        <v>81</v>
      </c>
      <c r="F142" s="65">
        <v>87</v>
      </c>
      <c r="G142" s="65">
        <v>72</v>
      </c>
      <c r="H142" s="496"/>
      <c r="I142" s="65">
        <v>712.5</v>
      </c>
      <c r="J142" s="67"/>
      <c r="K142" s="307" t="s">
        <v>209</v>
      </c>
      <c r="L142" s="308" t="s">
        <v>150</v>
      </c>
      <c r="M142" s="239"/>
    </row>
    <row r="143" spans="1:13" ht="15.75" customHeight="1" x14ac:dyDescent="0.25">
      <c r="A143" s="390">
        <v>43374</v>
      </c>
      <c r="B143" s="356" t="s">
        <v>116</v>
      </c>
      <c r="C143" s="65" t="s">
        <v>31</v>
      </c>
      <c r="D143" s="65" t="s">
        <v>30</v>
      </c>
      <c r="E143" s="65" t="s">
        <v>81</v>
      </c>
      <c r="F143" s="65">
        <v>88</v>
      </c>
      <c r="G143" s="65">
        <v>180</v>
      </c>
      <c r="H143" s="495"/>
      <c r="I143" s="65">
        <v>1781.25</v>
      </c>
      <c r="J143" s="67"/>
      <c r="K143" s="307" t="s">
        <v>209</v>
      </c>
      <c r="L143" s="308" t="s">
        <v>150</v>
      </c>
      <c r="M143" s="239"/>
    </row>
    <row r="144" spans="1:13" ht="15.75" customHeight="1" x14ac:dyDescent="0.25">
      <c r="A144" s="390">
        <v>43374</v>
      </c>
      <c r="B144" s="356" t="s">
        <v>117</v>
      </c>
      <c r="C144" s="65" t="s">
        <v>31</v>
      </c>
      <c r="D144" s="65" t="s">
        <v>30</v>
      </c>
      <c r="E144" s="65" t="s">
        <v>81</v>
      </c>
      <c r="F144" s="65">
        <v>87</v>
      </c>
      <c r="G144" s="65">
        <v>144</v>
      </c>
      <c r="H144" s="494">
        <f>SUM(I144:I145)</f>
        <v>3470</v>
      </c>
      <c r="I144" s="65">
        <v>1388</v>
      </c>
      <c r="J144" s="67"/>
      <c r="K144" s="307" t="s">
        <v>209</v>
      </c>
      <c r="L144" s="308" t="s">
        <v>150</v>
      </c>
      <c r="M144" s="239"/>
    </row>
    <row r="145" spans="1:863" ht="15.75" customHeight="1" x14ac:dyDescent="0.25">
      <c r="A145" s="390">
        <v>43374</v>
      </c>
      <c r="B145" s="356" t="s">
        <v>117</v>
      </c>
      <c r="C145" s="65" t="s">
        <v>31</v>
      </c>
      <c r="D145" s="65" t="s">
        <v>30</v>
      </c>
      <c r="E145" s="65" t="s">
        <v>81</v>
      </c>
      <c r="F145" s="65">
        <v>88</v>
      </c>
      <c r="G145" s="65">
        <v>216</v>
      </c>
      <c r="H145" s="495"/>
      <c r="I145" s="65">
        <v>2082</v>
      </c>
      <c r="J145" s="67"/>
      <c r="K145" s="307" t="s">
        <v>209</v>
      </c>
      <c r="L145" s="308" t="s">
        <v>150</v>
      </c>
      <c r="M145" s="239"/>
    </row>
    <row r="146" spans="1:863" s="189" customFormat="1" ht="15.75" customHeight="1" x14ac:dyDescent="0.25">
      <c r="A146" s="390">
        <v>43374</v>
      </c>
      <c r="B146" s="357" t="s">
        <v>118</v>
      </c>
      <c r="C146" s="187" t="s">
        <v>31</v>
      </c>
      <c r="D146" s="187" t="s">
        <v>30</v>
      </c>
      <c r="E146" s="187" t="s">
        <v>81</v>
      </c>
      <c r="F146" s="187">
        <v>84</v>
      </c>
      <c r="G146" s="187">
        <v>144</v>
      </c>
      <c r="H146" s="491">
        <f>SUM(I146:I149)</f>
        <v>3520</v>
      </c>
      <c r="I146" s="187">
        <v>1408</v>
      </c>
      <c r="J146" s="188"/>
      <c r="K146" s="310" t="s">
        <v>397</v>
      </c>
      <c r="L146" s="311" t="s">
        <v>395</v>
      </c>
      <c r="M146" s="24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1"/>
      <c r="BK146" s="121"/>
      <c r="BL146" s="121"/>
      <c r="BM146" s="121"/>
      <c r="BN146" s="121"/>
      <c r="BO146" s="121"/>
      <c r="BP146" s="121"/>
      <c r="BQ146" s="121"/>
      <c r="BR146" s="121"/>
      <c r="BS146" s="121"/>
      <c r="BT146" s="121"/>
      <c r="BU146" s="121"/>
      <c r="BV146" s="121"/>
      <c r="BW146" s="121"/>
      <c r="BX146" s="121"/>
      <c r="BY146" s="121"/>
      <c r="BZ146" s="121"/>
      <c r="CA146" s="121"/>
      <c r="CB146" s="121"/>
      <c r="CC146" s="121"/>
      <c r="CD146" s="121"/>
      <c r="CE146" s="121"/>
      <c r="CF146" s="121"/>
      <c r="CG146" s="121"/>
      <c r="CH146" s="121"/>
      <c r="CI146" s="121"/>
      <c r="CJ146" s="121"/>
      <c r="CK146" s="121"/>
      <c r="CL146" s="121"/>
      <c r="CM146" s="121"/>
      <c r="CN146" s="121"/>
      <c r="CO146" s="121"/>
      <c r="CP146" s="121"/>
      <c r="CQ146" s="121"/>
      <c r="CR146" s="121"/>
      <c r="CS146" s="121"/>
      <c r="CT146" s="121"/>
      <c r="CU146" s="121"/>
      <c r="CV146" s="121"/>
      <c r="CW146" s="121"/>
      <c r="CX146" s="121"/>
      <c r="CY146" s="121"/>
      <c r="CZ146" s="121"/>
      <c r="DA146" s="121"/>
      <c r="DB146" s="121"/>
      <c r="DC146" s="121"/>
      <c r="DD146" s="121"/>
      <c r="DE146" s="121"/>
      <c r="DF146" s="121"/>
      <c r="DG146" s="121"/>
      <c r="DH146" s="121"/>
      <c r="DI146" s="121"/>
      <c r="DJ146" s="121"/>
      <c r="DK146" s="121"/>
      <c r="DL146" s="121"/>
      <c r="DM146" s="121"/>
      <c r="DN146" s="121"/>
      <c r="DO146" s="121"/>
      <c r="DP146" s="121"/>
      <c r="DQ146" s="121"/>
      <c r="DR146" s="121"/>
      <c r="DS146" s="121"/>
      <c r="DT146" s="121"/>
      <c r="DU146" s="121"/>
      <c r="DV146" s="121"/>
      <c r="DW146" s="121"/>
      <c r="DX146" s="121"/>
      <c r="DY146" s="121"/>
      <c r="DZ146" s="121"/>
      <c r="EA146" s="121"/>
      <c r="EB146" s="121"/>
      <c r="EC146" s="121"/>
      <c r="ED146" s="121"/>
      <c r="EE146" s="121"/>
      <c r="EF146" s="121"/>
      <c r="EG146" s="121"/>
      <c r="EH146" s="121"/>
      <c r="EI146" s="121"/>
      <c r="EJ146" s="121"/>
      <c r="EK146" s="121"/>
      <c r="EL146" s="121"/>
      <c r="EM146" s="121"/>
      <c r="EN146" s="121"/>
      <c r="EO146" s="121"/>
      <c r="EP146" s="121"/>
      <c r="EQ146" s="121"/>
      <c r="ER146" s="121"/>
      <c r="ES146" s="121"/>
      <c r="ET146" s="121"/>
      <c r="EU146" s="121"/>
      <c r="EV146" s="121"/>
      <c r="EW146" s="121"/>
      <c r="EX146" s="121"/>
      <c r="EY146" s="121"/>
      <c r="EZ146" s="121"/>
      <c r="FA146" s="121"/>
      <c r="FB146" s="121"/>
      <c r="FC146" s="121"/>
      <c r="FD146" s="121"/>
      <c r="FE146" s="121"/>
      <c r="FF146" s="121"/>
      <c r="FG146" s="121"/>
      <c r="FH146" s="121"/>
      <c r="FI146" s="121"/>
      <c r="FJ146" s="121"/>
      <c r="FK146" s="121"/>
      <c r="FL146" s="121"/>
      <c r="FM146" s="121"/>
      <c r="FN146" s="121"/>
      <c r="FO146" s="121"/>
      <c r="FP146" s="121"/>
      <c r="FQ146" s="121"/>
      <c r="FR146" s="121"/>
      <c r="FS146" s="121"/>
      <c r="FT146" s="121"/>
      <c r="FU146" s="121"/>
      <c r="FV146" s="121"/>
      <c r="FW146" s="121"/>
      <c r="FX146" s="121"/>
      <c r="FY146" s="121"/>
      <c r="FZ146" s="121"/>
      <c r="GA146" s="121"/>
      <c r="GB146" s="121"/>
      <c r="GC146" s="121"/>
      <c r="GD146" s="121"/>
      <c r="GE146" s="121"/>
      <c r="GF146" s="121"/>
      <c r="GG146" s="121"/>
      <c r="GH146" s="121"/>
      <c r="GI146" s="121"/>
      <c r="GJ146" s="121"/>
      <c r="GK146" s="121"/>
      <c r="GL146" s="121"/>
      <c r="GM146" s="121"/>
      <c r="GN146" s="121"/>
      <c r="GO146" s="121"/>
      <c r="GP146" s="121"/>
      <c r="GQ146" s="121"/>
      <c r="GR146" s="121"/>
      <c r="GS146" s="121"/>
      <c r="GT146" s="121"/>
      <c r="GU146" s="121"/>
      <c r="GV146" s="121"/>
      <c r="GW146" s="121"/>
      <c r="GX146" s="121"/>
      <c r="GY146" s="121"/>
      <c r="GZ146" s="121"/>
      <c r="HA146" s="121"/>
      <c r="HB146" s="121"/>
      <c r="HC146" s="121"/>
      <c r="HD146" s="121"/>
      <c r="HE146" s="121"/>
      <c r="HF146" s="121"/>
      <c r="HG146" s="121"/>
      <c r="HH146" s="121"/>
      <c r="HI146" s="121"/>
      <c r="HJ146" s="121"/>
      <c r="HK146" s="121"/>
      <c r="HL146" s="121"/>
      <c r="HM146" s="121"/>
      <c r="HN146" s="121"/>
      <c r="HO146" s="121"/>
      <c r="HP146" s="121"/>
      <c r="HQ146" s="121"/>
      <c r="HR146" s="121"/>
      <c r="HS146" s="121"/>
      <c r="HT146" s="121"/>
      <c r="HU146" s="121"/>
      <c r="HV146" s="121"/>
      <c r="HW146" s="121"/>
      <c r="HX146" s="121"/>
      <c r="HY146" s="121"/>
      <c r="HZ146" s="121"/>
      <c r="IA146" s="121"/>
      <c r="IB146" s="121"/>
      <c r="IC146" s="121"/>
      <c r="ID146" s="121"/>
      <c r="IE146" s="121"/>
      <c r="IF146" s="121"/>
      <c r="IG146" s="121"/>
      <c r="IH146" s="121"/>
      <c r="II146" s="121"/>
      <c r="IJ146" s="121"/>
      <c r="IK146" s="121"/>
      <c r="IL146" s="121"/>
      <c r="IM146" s="121"/>
      <c r="IN146" s="121"/>
      <c r="IO146" s="121"/>
      <c r="IP146" s="121"/>
      <c r="IQ146" s="121"/>
      <c r="IR146" s="121"/>
      <c r="IS146" s="121"/>
      <c r="IT146" s="121"/>
      <c r="IU146" s="121"/>
      <c r="IV146" s="121"/>
      <c r="IW146" s="121"/>
      <c r="IX146" s="121"/>
      <c r="IY146" s="121"/>
      <c r="IZ146" s="121"/>
      <c r="JA146" s="121"/>
      <c r="JB146" s="121"/>
      <c r="JC146" s="121"/>
      <c r="JD146" s="121"/>
      <c r="JE146" s="121"/>
      <c r="JF146" s="121"/>
      <c r="JG146" s="121"/>
      <c r="JH146" s="121"/>
      <c r="JI146" s="121"/>
      <c r="JJ146" s="121"/>
      <c r="JK146" s="121"/>
      <c r="JL146" s="121"/>
      <c r="JM146" s="121"/>
      <c r="JN146" s="121"/>
      <c r="JO146" s="121"/>
      <c r="JP146" s="121"/>
      <c r="JQ146" s="121"/>
      <c r="JR146" s="121"/>
      <c r="JS146" s="121"/>
      <c r="JT146" s="121"/>
      <c r="JU146" s="121"/>
      <c r="JV146" s="121"/>
      <c r="JW146" s="121"/>
      <c r="JX146" s="121"/>
      <c r="JY146" s="121"/>
      <c r="JZ146" s="121"/>
      <c r="KA146" s="121"/>
      <c r="KB146" s="121"/>
      <c r="KC146" s="121"/>
      <c r="KD146" s="121"/>
      <c r="KE146" s="121"/>
      <c r="KF146" s="121"/>
      <c r="KG146" s="121"/>
      <c r="KH146" s="121"/>
      <c r="KI146" s="121"/>
      <c r="KJ146" s="121"/>
      <c r="KK146" s="121"/>
      <c r="KL146" s="121"/>
      <c r="KM146" s="121"/>
      <c r="KN146" s="121"/>
      <c r="KO146" s="121"/>
      <c r="KP146" s="121"/>
      <c r="KQ146" s="121"/>
      <c r="KR146" s="121"/>
      <c r="KS146" s="121"/>
      <c r="KT146" s="121"/>
      <c r="KU146" s="121"/>
      <c r="KV146" s="121"/>
      <c r="KW146" s="121"/>
      <c r="KX146" s="121"/>
      <c r="KY146" s="121"/>
      <c r="KZ146" s="121"/>
      <c r="LA146" s="121"/>
      <c r="LB146" s="121"/>
      <c r="LC146" s="121"/>
      <c r="LD146" s="121"/>
      <c r="LE146" s="121"/>
      <c r="LF146" s="121"/>
      <c r="LG146" s="121"/>
      <c r="LH146" s="121"/>
      <c r="LI146" s="121"/>
      <c r="LJ146" s="121"/>
      <c r="LK146" s="121"/>
      <c r="LL146" s="121"/>
      <c r="LM146" s="121"/>
      <c r="LN146" s="121"/>
      <c r="LO146" s="121"/>
      <c r="LP146" s="121"/>
      <c r="LQ146" s="121"/>
      <c r="LR146" s="121"/>
      <c r="LS146" s="121"/>
      <c r="LT146" s="121"/>
      <c r="LU146" s="121"/>
      <c r="LV146" s="121"/>
      <c r="LW146" s="121"/>
      <c r="LX146" s="121"/>
      <c r="LY146" s="121"/>
      <c r="LZ146" s="121"/>
      <c r="MA146" s="121"/>
      <c r="MB146" s="121"/>
      <c r="MC146" s="121"/>
      <c r="MD146" s="121"/>
      <c r="ME146" s="121"/>
      <c r="MF146" s="121"/>
      <c r="MG146" s="121"/>
      <c r="MH146" s="121"/>
      <c r="MI146" s="121"/>
      <c r="MJ146" s="121"/>
      <c r="MK146" s="121"/>
      <c r="ML146" s="121"/>
      <c r="MM146" s="121"/>
      <c r="MN146" s="121"/>
      <c r="MO146" s="121"/>
      <c r="MP146" s="121"/>
      <c r="MQ146" s="121"/>
      <c r="MR146" s="121"/>
      <c r="MS146" s="121"/>
      <c r="MT146" s="121"/>
      <c r="MU146" s="121"/>
      <c r="MV146" s="121"/>
      <c r="MW146" s="121"/>
      <c r="MX146" s="121"/>
      <c r="MY146" s="121"/>
      <c r="MZ146" s="121"/>
      <c r="NA146" s="121"/>
      <c r="NB146" s="121"/>
      <c r="NC146" s="121"/>
      <c r="ND146" s="121"/>
      <c r="NE146" s="121"/>
      <c r="NF146" s="121"/>
      <c r="NG146" s="121"/>
      <c r="NH146" s="121"/>
      <c r="NI146" s="121"/>
      <c r="NJ146" s="121"/>
      <c r="NK146" s="121"/>
      <c r="NL146" s="121"/>
      <c r="NM146" s="121"/>
      <c r="NN146" s="121"/>
      <c r="NO146" s="121"/>
      <c r="NP146" s="121"/>
      <c r="NQ146" s="121"/>
      <c r="NR146" s="121"/>
      <c r="NS146" s="121"/>
      <c r="NT146" s="121"/>
      <c r="NU146" s="121"/>
      <c r="NV146" s="121"/>
      <c r="NW146" s="121"/>
      <c r="NX146" s="121"/>
      <c r="NY146" s="121"/>
      <c r="NZ146" s="121"/>
      <c r="OA146" s="121"/>
      <c r="OB146" s="121"/>
      <c r="OC146" s="121"/>
      <c r="OD146" s="121"/>
      <c r="OE146" s="121"/>
      <c r="OF146" s="121"/>
      <c r="OG146" s="121"/>
      <c r="OH146" s="121"/>
      <c r="OI146" s="121"/>
      <c r="OJ146" s="121"/>
      <c r="OK146" s="121"/>
      <c r="OL146" s="121"/>
      <c r="OM146" s="121"/>
      <c r="ON146" s="121"/>
      <c r="OO146" s="121"/>
      <c r="OP146" s="121"/>
      <c r="OQ146" s="121"/>
      <c r="OR146" s="121"/>
      <c r="OS146" s="121"/>
      <c r="OT146" s="121"/>
      <c r="OU146" s="121"/>
      <c r="OV146" s="121"/>
      <c r="OW146" s="121"/>
      <c r="OX146" s="121"/>
      <c r="OY146" s="121"/>
      <c r="OZ146" s="121"/>
      <c r="PA146" s="121"/>
      <c r="PB146" s="121"/>
      <c r="PC146" s="121"/>
      <c r="PD146" s="121"/>
      <c r="PE146" s="121"/>
      <c r="PF146" s="121"/>
      <c r="PG146" s="121"/>
      <c r="PH146" s="121"/>
      <c r="PI146" s="121"/>
      <c r="PJ146" s="121"/>
      <c r="PK146" s="121"/>
      <c r="PL146" s="121"/>
      <c r="PM146" s="121"/>
      <c r="PN146" s="121"/>
      <c r="PO146" s="121"/>
      <c r="PP146" s="121"/>
      <c r="PQ146" s="121"/>
      <c r="PR146" s="121"/>
      <c r="PS146" s="121"/>
      <c r="PT146" s="121"/>
      <c r="PU146" s="121"/>
      <c r="PV146" s="121"/>
      <c r="PW146" s="121"/>
      <c r="PX146" s="121"/>
      <c r="PY146" s="121"/>
      <c r="PZ146" s="121"/>
      <c r="QA146" s="121"/>
      <c r="QB146" s="121"/>
      <c r="QC146" s="121"/>
      <c r="QD146" s="121"/>
      <c r="QE146" s="121"/>
      <c r="QF146" s="121"/>
      <c r="QG146" s="121"/>
      <c r="QH146" s="121"/>
      <c r="QI146" s="121"/>
      <c r="QJ146" s="121"/>
      <c r="QK146" s="121"/>
      <c r="QL146" s="121"/>
      <c r="QM146" s="121"/>
      <c r="QN146" s="121"/>
      <c r="QO146" s="121"/>
      <c r="QP146" s="121"/>
      <c r="QQ146" s="121"/>
      <c r="QR146" s="121"/>
      <c r="QS146" s="121"/>
      <c r="QT146" s="121"/>
      <c r="QU146" s="121"/>
      <c r="QV146" s="121"/>
      <c r="QW146" s="121"/>
      <c r="QX146" s="121"/>
      <c r="QY146" s="121"/>
      <c r="QZ146" s="121"/>
      <c r="RA146" s="121"/>
      <c r="RB146" s="121"/>
      <c r="RC146" s="121"/>
      <c r="RD146" s="121"/>
      <c r="RE146" s="121"/>
      <c r="RF146" s="121"/>
      <c r="RG146" s="121"/>
      <c r="RH146" s="121"/>
      <c r="RI146" s="121"/>
      <c r="RJ146" s="121"/>
      <c r="RK146" s="121"/>
      <c r="RL146" s="121"/>
      <c r="RM146" s="121"/>
      <c r="RN146" s="121"/>
      <c r="RO146" s="121"/>
      <c r="RP146" s="121"/>
      <c r="RQ146" s="121"/>
      <c r="RR146" s="121"/>
      <c r="RS146" s="121"/>
      <c r="RT146" s="121"/>
      <c r="RU146" s="121"/>
      <c r="RV146" s="121"/>
      <c r="RW146" s="121"/>
      <c r="RX146" s="121"/>
      <c r="RY146" s="121"/>
      <c r="RZ146" s="121"/>
      <c r="SA146" s="121"/>
      <c r="SB146" s="121"/>
      <c r="SC146" s="121"/>
      <c r="SD146" s="121"/>
      <c r="SE146" s="121"/>
      <c r="SF146" s="121"/>
      <c r="SG146" s="121"/>
      <c r="SH146" s="121"/>
      <c r="SI146" s="121"/>
      <c r="SJ146" s="121"/>
      <c r="SK146" s="121"/>
      <c r="SL146" s="121"/>
      <c r="SM146" s="121"/>
      <c r="SN146" s="121"/>
      <c r="SO146" s="121"/>
      <c r="SP146" s="121"/>
      <c r="SQ146" s="121"/>
      <c r="SR146" s="121"/>
      <c r="SS146" s="121"/>
      <c r="ST146" s="121"/>
      <c r="SU146" s="121"/>
      <c r="SV146" s="121"/>
      <c r="SW146" s="121"/>
      <c r="SX146" s="121"/>
      <c r="SY146" s="121"/>
      <c r="SZ146" s="121"/>
      <c r="TA146" s="121"/>
      <c r="TB146" s="121"/>
      <c r="TC146" s="121"/>
      <c r="TD146" s="121"/>
      <c r="TE146" s="121"/>
      <c r="TF146" s="121"/>
      <c r="TG146" s="121"/>
      <c r="TH146" s="121"/>
      <c r="TI146" s="121"/>
      <c r="TJ146" s="121"/>
      <c r="TK146" s="121"/>
      <c r="TL146" s="121"/>
      <c r="TM146" s="121"/>
      <c r="TN146" s="121"/>
      <c r="TO146" s="121"/>
      <c r="TP146" s="121"/>
      <c r="TQ146" s="121"/>
      <c r="TR146" s="121"/>
      <c r="TS146" s="121"/>
      <c r="TT146" s="121"/>
      <c r="TU146" s="121"/>
      <c r="TV146" s="121"/>
      <c r="TW146" s="121"/>
      <c r="TX146" s="121"/>
      <c r="TY146" s="121"/>
      <c r="TZ146" s="121"/>
      <c r="UA146" s="121"/>
      <c r="UB146" s="121"/>
      <c r="UC146" s="121"/>
      <c r="UD146" s="121"/>
      <c r="UE146" s="121"/>
      <c r="UF146" s="121"/>
      <c r="UG146" s="121"/>
      <c r="UH146" s="121"/>
      <c r="UI146" s="121"/>
      <c r="UJ146" s="121"/>
      <c r="UK146" s="121"/>
      <c r="UL146" s="121"/>
      <c r="UM146" s="121"/>
      <c r="UN146" s="121"/>
      <c r="UO146" s="121"/>
      <c r="UP146" s="121"/>
      <c r="UQ146" s="121"/>
      <c r="UR146" s="121"/>
      <c r="US146" s="121"/>
      <c r="UT146" s="121"/>
      <c r="UU146" s="121"/>
      <c r="UV146" s="121"/>
      <c r="UW146" s="121"/>
      <c r="UX146" s="121"/>
      <c r="UY146" s="121"/>
      <c r="UZ146" s="121"/>
      <c r="VA146" s="121"/>
      <c r="VB146" s="121"/>
      <c r="VC146" s="121"/>
      <c r="VD146" s="121"/>
      <c r="VE146" s="121"/>
      <c r="VF146" s="121"/>
      <c r="VG146" s="121"/>
      <c r="VH146" s="121"/>
      <c r="VI146" s="121"/>
      <c r="VJ146" s="121"/>
      <c r="VK146" s="121"/>
      <c r="VL146" s="121"/>
      <c r="VM146" s="121"/>
      <c r="VN146" s="121"/>
      <c r="VO146" s="121"/>
      <c r="VP146" s="121"/>
      <c r="VQ146" s="121"/>
      <c r="VR146" s="121"/>
      <c r="VS146" s="121"/>
      <c r="VT146" s="121"/>
      <c r="VU146" s="121"/>
      <c r="VV146" s="121"/>
      <c r="VW146" s="121"/>
      <c r="VX146" s="121"/>
      <c r="VY146" s="121"/>
      <c r="VZ146" s="121"/>
      <c r="WA146" s="121"/>
      <c r="WB146" s="121"/>
      <c r="WC146" s="121"/>
      <c r="WD146" s="121"/>
      <c r="WE146" s="121"/>
      <c r="WF146" s="121"/>
      <c r="WG146" s="121"/>
      <c r="WH146" s="121"/>
      <c r="WI146" s="121"/>
      <c r="WJ146" s="121"/>
      <c r="WK146" s="121"/>
      <c r="WL146" s="121"/>
      <c r="WM146" s="121"/>
      <c r="WN146" s="121"/>
      <c r="WO146" s="121"/>
      <c r="WP146" s="121"/>
      <c r="WQ146" s="121"/>
      <c r="WR146" s="121"/>
      <c r="WS146" s="121"/>
      <c r="WT146" s="121"/>
      <c r="WU146" s="121"/>
      <c r="WV146" s="121"/>
      <c r="WW146" s="121"/>
      <c r="WX146" s="121"/>
      <c r="WY146" s="121"/>
      <c r="WZ146" s="121"/>
      <c r="XA146" s="121"/>
      <c r="XB146" s="121"/>
      <c r="XC146" s="121"/>
      <c r="XD146" s="121"/>
      <c r="XE146" s="121"/>
      <c r="XF146" s="121"/>
      <c r="XG146" s="121"/>
      <c r="XH146" s="121"/>
      <c r="XI146" s="121"/>
      <c r="XJ146" s="121"/>
      <c r="XK146" s="121"/>
      <c r="XL146" s="121"/>
      <c r="XM146" s="121"/>
      <c r="XN146" s="121"/>
      <c r="XO146" s="121"/>
      <c r="XP146" s="121"/>
      <c r="XQ146" s="121"/>
      <c r="XR146" s="121"/>
      <c r="XS146" s="121"/>
      <c r="XT146" s="121"/>
      <c r="XU146" s="121"/>
      <c r="XV146" s="121"/>
      <c r="XW146" s="121"/>
      <c r="XX146" s="121"/>
      <c r="XY146" s="121"/>
      <c r="XZ146" s="121"/>
      <c r="YA146" s="121"/>
      <c r="YB146" s="121"/>
      <c r="YC146" s="121"/>
      <c r="YD146" s="121"/>
      <c r="YE146" s="121"/>
      <c r="YF146" s="121"/>
      <c r="YG146" s="121"/>
      <c r="YH146" s="121"/>
      <c r="YI146" s="121"/>
      <c r="YJ146" s="121"/>
      <c r="YK146" s="121"/>
      <c r="YL146" s="121"/>
      <c r="YM146" s="121"/>
      <c r="YN146" s="121"/>
      <c r="YO146" s="121"/>
      <c r="YP146" s="121"/>
      <c r="YQ146" s="121"/>
      <c r="YR146" s="121"/>
      <c r="YS146" s="121"/>
      <c r="YT146" s="121"/>
      <c r="YU146" s="121"/>
      <c r="YV146" s="121"/>
      <c r="YW146" s="121"/>
      <c r="YX146" s="121"/>
      <c r="YY146" s="121"/>
      <c r="YZ146" s="121"/>
      <c r="ZA146" s="121"/>
      <c r="ZB146" s="121"/>
      <c r="ZC146" s="121"/>
      <c r="ZD146" s="121"/>
      <c r="ZE146" s="121"/>
      <c r="ZF146" s="121"/>
      <c r="ZG146" s="121"/>
      <c r="ZH146" s="121"/>
      <c r="ZI146" s="121"/>
      <c r="ZJ146" s="121"/>
      <c r="ZK146" s="121"/>
      <c r="ZL146" s="121"/>
      <c r="ZM146" s="121"/>
      <c r="ZN146" s="121"/>
      <c r="ZO146" s="121"/>
      <c r="ZP146" s="121"/>
      <c r="ZQ146" s="121"/>
      <c r="ZR146" s="121"/>
      <c r="ZS146" s="121"/>
      <c r="ZT146" s="121"/>
      <c r="ZU146" s="121"/>
      <c r="ZV146" s="121"/>
      <c r="ZW146" s="121"/>
      <c r="ZX146" s="121"/>
      <c r="ZY146" s="121"/>
      <c r="ZZ146" s="121"/>
      <c r="AAA146" s="121"/>
      <c r="AAB146" s="121"/>
      <c r="AAC146" s="121"/>
      <c r="AAD146" s="121"/>
      <c r="AAE146" s="121"/>
      <c r="AAF146" s="121"/>
      <c r="AAG146" s="121"/>
      <c r="AAH146" s="121"/>
      <c r="AAI146" s="121"/>
      <c r="AAJ146" s="121"/>
      <c r="AAK146" s="121"/>
      <c r="AAL146" s="121"/>
      <c r="AAM146" s="121"/>
      <c r="AAN146" s="121"/>
      <c r="AAO146" s="121"/>
      <c r="AAP146" s="121"/>
      <c r="AAQ146" s="121"/>
      <c r="AAR146" s="121"/>
      <c r="AAS146" s="121"/>
      <c r="AAT146" s="121"/>
      <c r="AAU146" s="121"/>
      <c r="AAV146" s="121"/>
      <c r="AAW146" s="121"/>
      <c r="AAX146" s="121"/>
      <c r="AAY146" s="121"/>
      <c r="AAZ146" s="121"/>
      <c r="ABA146" s="121"/>
      <c r="ABB146" s="121"/>
      <c r="ABC146" s="121"/>
      <c r="ABD146" s="121"/>
      <c r="ABE146" s="121"/>
      <c r="ABF146" s="121"/>
      <c r="ABG146" s="121"/>
      <c r="ABH146" s="121"/>
      <c r="ABI146" s="121"/>
      <c r="ABJ146" s="121"/>
      <c r="ABK146" s="121"/>
      <c r="ABL146" s="121"/>
      <c r="ABM146" s="121"/>
      <c r="ABN146" s="121"/>
      <c r="ABO146" s="121"/>
      <c r="ABP146" s="121"/>
      <c r="ABQ146" s="121"/>
      <c r="ABR146" s="121"/>
      <c r="ABS146" s="121"/>
      <c r="ABT146" s="121"/>
      <c r="ABU146" s="121"/>
      <c r="ABV146" s="121"/>
      <c r="ABW146" s="121"/>
      <c r="ABX146" s="121"/>
      <c r="ABY146" s="121"/>
      <c r="ABZ146" s="121"/>
      <c r="ACA146" s="121"/>
      <c r="ACB146" s="121"/>
      <c r="ACC146" s="121"/>
      <c r="ACD146" s="121"/>
      <c r="ACE146" s="121"/>
      <c r="ACF146" s="121"/>
      <c r="ACG146" s="121"/>
      <c r="ACH146" s="121"/>
      <c r="ACI146" s="121"/>
      <c r="ACJ146" s="121"/>
      <c r="ACK146" s="121"/>
      <c r="ACL146" s="121"/>
      <c r="ACM146" s="121"/>
      <c r="ACN146" s="121"/>
      <c r="ACO146" s="121"/>
      <c r="ACP146" s="121"/>
      <c r="ACQ146" s="121"/>
      <c r="ACR146" s="121"/>
      <c r="ACS146" s="121"/>
      <c r="ACT146" s="121"/>
      <c r="ACU146" s="121"/>
      <c r="ACV146" s="121"/>
      <c r="ACW146" s="121"/>
      <c r="ACX146" s="121"/>
      <c r="ACY146" s="121"/>
      <c r="ACZ146" s="121"/>
      <c r="ADA146" s="121"/>
      <c r="ADB146" s="121"/>
      <c r="ADC146" s="121"/>
      <c r="ADD146" s="121"/>
      <c r="ADE146" s="121"/>
      <c r="ADF146" s="121"/>
      <c r="ADG146" s="121"/>
      <c r="ADH146" s="121"/>
      <c r="ADI146" s="121"/>
      <c r="ADJ146" s="121"/>
      <c r="ADK146" s="121"/>
      <c r="ADL146" s="121"/>
      <c r="ADM146" s="121"/>
      <c r="ADN146" s="121"/>
      <c r="ADO146" s="121"/>
      <c r="ADP146" s="121"/>
      <c r="ADQ146" s="121"/>
      <c r="ADR146" s="121"/>
      <c r="ADS146" s="121"/>
      <c r="ADT146" s="121"/>
      <c r="ADU146" s="121"/>
      <c r="ADV146" s="121"/>
      <c r="ADW146" s="121"/>
      <c r="ADX146" s="121"/>
      <c r="ADY146" s="121"/>
      <c r="ADZ146" s="121"/>
      <c r="AEA146" s="121"/>
      <c r="AEB146" s="121"/>
      <c r="AEC146" s="121"/>
      <c r="AED146" s="121"/>
      <c r="AEE146" s="121"/>
      <c r="AEF146" s="121"/>
      <c r="AEG146" s="121"/>
      <c r="AEH146" s="121"/>
      <c r="AEI146" s="121"/>
      <c r="AEJ146" s="121"/>
      <c r="AEK146" s="121"/>
      <c r="AEL146" s="121"/>
      <c r="AEM146" s="121"/>
      <c r="AEN146" s="121"/>
      <c r="AEO146" s="121"/>
      <c r="AEP146" s="121"/>
      <c r="AEQ146" s="121"/>
      <c r="AER146" s="121"/>
      <c r="AES146" s="121"/>
      <c r="AET146" s="121"/>
      <c r="AEU146" s="121"/>
      <c r="AEV146" s="121"/>
      <c r="AEW146" s="121"/>
      <c r="AEX146" s="121"/>
      <c r="AEY146" s="121"/>
      <c r="AEZ146" s="121"/>
      <c r="AFA146" s="121"/>
      <c r="AFB146" s="121"/>
      <c r="AFC146" s="121"/>
      <c r="AFD146" s="121"/>
      <c r="AFE146" s="121"/>
      <c r="AFF146" s="121"/>
      <c r="AFG146" s="121"/>
      <c r="AFH146" s="121"/>
      <c r="AFI146" s="121"/>
      <c r="AFJ146" s="121"/>
      <c r="AFK146" s="121"/>
      <c r="AFL146" s="121"/>
      <c r="AFM146" s="121"/>
      <c r="AFN146" s="121"/>
      <c r="AFO146" s="121"/>
      <c r="AFP146" s="121"/>
      <c r="AFQ146" s="121"/>
      <c r="AFR146" s="121"/>
      <c r="AFS146" s="121"/>
      <c r="AFT146" s="121"/>
      <c r="AFU146" s="121"/>
      <c r="AFV146" s="121"/>
      <c r="AFW146" s="121"/>
      <c r="AFX146" s="121"/>
      <c r="AFY146" s="121"/>
      <c r="AFZ146" s="121"/>
      <c r="AGA146" s="121"/>
      <c r="AGB146" s="121"/>
      <c r="AGC146" s="121"/>
      <c r="AGD146" s="121"/>
      <c r="AGE146" s="121"/>
    </row>
    <row r="147" spans="1:863" s="189" customFormat="1" ht="15.75" customHeight="1" x14ac:dyDescent="0.25">
      <c r="A147" s="390">
        <v>43374</v>
      </c>
      <c r="B147" s="357" t="s">
        <v>118</v>
      </c>
      <c r="C147" s="187" t="s">
        <v>31</v>
      </c>
      <c r="D147" s="187" t="s">
        <v>30</v>
      </c>
      <c r="E147" s="187" t="s">
        <v>81</v>
      </c>
      <c r="F147" s="187">
        <v>85</v>
      </c>
      <c r="G147" s="187">
        <v>72</v>
      </c>
      <c r="H147" s="493"/>
      <c r="I147" s="187">
        <v>704</v>
      </c>
      <c r="J147" s="188"/>
      <c r="K147" s="310" t="s">
        <v>397</v>
      </c>
      <c r="L147" s="311" t="s">
        <v>395</v>
      </c>
      <c r="M147" s="24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1"/>
      <c r="BK147" s="121"/>
      <c r="BL147" s="121"/>
      <c r="BM147" s="121"/>
      <c r="BN147" s="121"/>
      <c r="BO147" s="121"/>
      <c r="BP147" s="121"/>
      <c r="BQ147" s="121"/>
      <c r="BR147" s="121"/>
      <c r="BS147" s="121"/>
      <c r="BT147" s="121"/>
      <c r="BU147" s="121"/>
      <c r="BV147" s="121"/>
      <c r="BW147" s="121"/>
      <c r="BX147" s="121"/>
      <c r="BY147" s="121"/>
      <c r="BZ147" s="121"/>
      <c r="CA147" s="121"/>
      <c r="CB147" s="121"/>
      <c r="CC147" s="121"/>
      <c r="CD147" s="121"/>
      <c r="CE147" s="121"/>
      <c r="CF147" s="121"/>
      <c r="CG147" s="121"/>
      <c r="CH147" s="121"/>
      <c r="CI147" s="121"/>
      <c r="CJ147" s="121"/>
      <c r="CK147" s="121"/>
      <c r="CL147" s="121"/>
      <c r="CM147" s="121"/>
      <c r="CN147" s="121"/>
      <c r="CO147" s="121"/>
      <c r="CP147" s="121"/>
      <c r="CQ147" s="121"/>
      <c r="CR147" s="121"/>
      <c r="CS147" s="121"/>
      <c r="CT147" s="121"/>
      <c r="CU147" s="121"/>
      <c r="CV147" s="121"/>
      <c r="CW147" s="121"/>
      <c r="CX147" s="121"/>
      <c r="CY147" s="121"/>
      <c r="CZ147" s="121"/>
      <c r="DA147" s="121"/>
      <c r="DB147" s="121"/>
      <c r="DC147" s="121"/>
      <c r="DD147" s="121"/>
      <c r="DE147" s="121"/>
      <c r="DF147" s="121"/>
      <c r="DG147" s="121"/>
      <c r="DH147" s="121"/>
      <c r="DI147" s="121"/>
      <c r="DJ147" s="121"/>
      <c r="DK147" s="121"/>
      <c r="DL147" s="121"/>
      <c r="DM147" s="121"/>
      <c r="DN147" s="121"/>
      <c r="DO147" s="121"/>
      <c r="DP147" s="121"/>
      <c r="DQ147" s="121"/>
      <c r="DR147" s="121"/>
      <c r="DS147" s="121"/>
      <c r="DT147" s="121"/>
      <c r="DU147" s="121"/>
      <c r="DV147" s="121"/>
      <c r="DW147" s="121"/>
      <c r="DX147" s="121"/>
      <c r="DY147" s="121"/>
      <c r="DZ147" s="121"/>
      <c r="EA147" s="121"/>
      <c r="EB147" s="121"/>
      <c r="EC147" s="121"/>
      <c r="ED147" s="121"/>
      <c r="EE147" s="121"/>
      <c r="EF147" s="121"/>
      <c r="EG147" s="121"/>
      <c r="EH147" s="121"/>
      <c r="EI147" s="121"/>
      <c r="EJ147" s="121"/>
      <c r="EK147" s="121"/>
      <c r="EL147" s="121"/>
      <c r="EM147" s="121"/>
      <c r="EN147" s="121"/>
      <c r="EO147" s="121"/>
      <c r="EP147" s="121"/>
      <c r="EQ147" s="121"/>
      <c r="ER147" s="121"/>
      <c r="ES147" s="121"/>
      <c r="ET147" s="121"/>
      <c r="EU147" s="121"/>
      <c r="EV147" s="121"/>
      <c r="EW147" s="121"/>
      <c r="EX147" s="121"/>
      <c r="EY147" s="121"/>
      <c r="EZ147" s="121"/>
      <c r="FA147" s="121"/>
      <c r="FB147" s="121"/>
      <c r="FC147" s="121"/>
      <c r="FD147" s="121"/>
      <c r="FE147" s="121"/>
      <c r="FF147" s="121"/>
      <c r="FG147" s="121"/>
      <c r="FH147" s="121"/>
      <c r="FI147" s="121"/>
      <c r="FJ147" s="121"/>
      <c r="FK147" s="121"/>
      <c r="FL147" s="121"/>
      <c r="FM147" s="121"/>
      <c r="FN147" s="121"/>
      <c r="FO147" s="121"/>
      <c r="FP147" s="121"/>
      <c r="FQ147" s="121"/>
      <c r="FR147" s="121"/>
      <c r="FS147" s="121"/>
      <c r="FT147" s="121"/>
      <c r="FU147" s="121"/>
      <c r="FV147" s="121"/>
      <c r="FW147" s="121"/>
      <c r="FX147" s="121"/>
      <c r="FY147" s="121"/>
      <c r="FZ147" s="121"/>
      <c r="GA147" s="121"/>
      <c r="GB147" s="121"/>
      <c r="GC147" s="121"/>
      <c r="GD147" s="121"/>
      <c r="GE147" s="121"/>
      <c r="GF147" s="121"/>
      <c r="GG147" s="121"/>
      <c r="GH147" s="121"/>
      <c r="GI147" s="121"/>
      <c r="GJ147" s="121"/>
      <c r="GK147" s="121"/>
      <c r="GL147" s="121"/>
      <c r="GM147" s="121"/>
      <c r="GN147" s="121"/>
      <c r="GO147" s="121"/>
      <c r="GP147" s="121"/>
      <c r="GQ147" s="121"/>
      <c r="GR147" s="121"/>
      <c r="GS147" s="121"/>
      <c r="GT147" s="121"/>
      <c r="GU147" s="121"/>
      <c r="GV147" s="121"/>
      <c r="GW147" s="121"/>
      <c r="GX147" s="121"/>
      <c r="GY147" s="121"/>
      <c r="GZ147" s="121"/>
      <c r="HA147" s="121"/>
      <c r="HB147" s="121"/>
      <c r="HC147" s="121"/>
      <c r="HD147" s="121"/>
      <c r="HE147" s="121"/>
      <c r="HF147" s="121"/>
      <c r="HG147" s="121"/>
      <c r="HH147" s="121"/>
      <c r="HI147" s="121"/>
      <c r="HJ147" s="121"/>
      <c r="HK147" s="121"/>
      <c r="HL147" s="121"/>
      <c r="HM147" s="121"/>
      <c r="HN147" s="121"/>
      <c r="HO147" s="121"/>
      <c r="HP147" s="121"/>
      <c r="HQ147" s="121"/>
      <c r="HR147" s="121"/>
      <c r="HS147" s="121"/>
      <c r="HT147" s="121"/>
      <c r="HU147" s="121"/>
      <c r="HV147" s="121"/>
      <c r="HW147" s="121"/>
      <c r="HX147" s="121"/>
      <c r="HY147" s="121"/>
      <c r="HZ147" s="121"/>
      <c r="IA147" s="121"/>
      <c r="IB147" s="121"/>
      <c r="IC147" s="121"/>
      <c r="ID147" s="121"/>
      <c r="IE147" s="121"/>
      <c r="IF147" s="121"/>
      <c r="IG147" s="121"/>
      <c r="IH147" s="121"/>
      <c r="II147" s="121"/>
      <c r="IJ147" s="121"/>
      <c r="IK147" s="121"/>
      <c r="IL147" s="121"/>
      <c r="IM147" s="121"/>
      <c r="IN147" s="121"/>
      <c r="IO147" s="121"/>
      <c r="IP147" s="121"/>
      <c r="IQ147" s="121"/>
      <c r="IR147" s="121"/>
      <c r="IS147" s="121"/>
      <c r="IT147" s="121"/>
      <c r="IU147" s="121"/>
      <c r="IV147" s="121"/>
      <c r="IW147" s="121"/>
      <c r="IX147" s="121"/>
      <c r="IY147" s="121"/>
      <c r="IZ147" s="121"/>
      <c r="JA147" s="121"/>
      <c r="JB147" s="121"/>
      <c r="JC147" s="121"/>
      <c r="JD147" s="121"/>
      <c r="JE147" s="121"/>
      <c r="JF147" s="121"/>
      <c r="JG147" s="121"/>
      <c r="JH147" s="121"/>
      <c r="JI147" s="121"/>
      <c r="JJ147" s="121"/>
      <c r="JK147" s="121"/>
      <c r="JL147" s="121"/>
      <c r="JM147" s="121"/>
      <c r="JN147" s="121"/>
      <c r="JO147" s="121"/>
      <c r="JP147" s="121"/>
      <c r="JQ147" s="121"/>
      <c r="JR147" s="121"/>
      <c r="JS147" s="121"/>
      <c r="JT147" s="121"/>
      <c r="JU147" s="121"/>
      <c r="JV147" s="121"/>
      <c r="JW147" s="121"/>
      <c r="JX147" s="121"/>
      <c r="JY147" s="121"/>
      <c r="JZ147" s="121"/>
      <c r="KA147" s="121"/>
      <c r="KB147" s="121"/>
      <c r="KC147" s="121"/>
      <c r="KD147" s="121"/>
      <c r="KE147" s="121"/>
      <c r="KF147" s="121"/>
      <c r="KG147" s="121"/>
      <c r="KH147" s="121"/>
      <c r="KI147" s="121"/>
      <c r="KJ147" s="121"/>
      <c r="KK147" s="121"/>
      <c r="KL147" s="121"/>
      <c r="KM147" s="121"/>
      <c r="KN147" s="121"/>
      <c r="KO147" s="121"/>
      <c r="KP147" s="121"/>
      <c r="KQ147" s="121"/>
      <c r="KR147" s="121"/>
      <c r="KS147" s="121"/>
      <c r="KT147" s="121"/>
      <c r="KU147" s="121"/>
      <c r="KV147" s="121"/>
      <c r="KW147" s="121"/>
      <c r="KX147" s="121"/>
      <c r="KY147" s="121"/>
      <c r="KZ147" s="121"/>
      <c r="LA147" s="121"/>
      <c r="LB147" s="121"/>
      <c r="LC147" s="121"/>
      <c r="LD147" s="121"/>
      <c r="LE147" s="121"/>
      <c r="LF147" s="121"/>
      <c r="LG147" s="121"/>
      <c r="LH147" s="121"/>
      <c r="LI147" s="121"/>
      <c r="LJ147" s="121"/>
      <c r="LK147" s="121"/>
      <c r="LL147" s="121"/>
      <c r="LM147" s="121"/>
      <c r="LN147" s="121"/>
      <c r="LO147" s="121"/>
      <c r="LP147" s="121"/>
      <c r="LQ147" s="121"/>
      <c r="LR147" s="121"/>
      <c r="LS147" s="121"/>
      <c r="LT147" s="121"/>
      <c r="LU147" s="121"/>
      <c r="LV147" s="121"/>
      <c r="LW147" s="121"/>
      <c r="LX147" s="121"/>
      <c r="LY147" s="121"/>
      <c r="LZ147" s="121"/>
      <c r="MA147" s="121"/>
      <c r="MB147" s="121"/>
      <c r="MC147" s="121"/>
      <c r="MD147" s="121"/>
      <c r="ME147" s="121"/>
      <c r="MF147" s="121"/>
      <c r="MG147" s="121"/>
      <c r="MH147" s="121"/>
      <c r="MI147" s="121"/>
      <c r="MJ147" s="121"/>
      <c r="MK147" s="121"/>
      <c r="ML147" s="121"/>
      <c r="MM147" s="121"/>
      <c r="MN147" s="121"/>
      <c r="MO147" s="121"/>
      <c r="MP147" s="121"/>
      <c r="MQ147" s="121"/>
      <c r="MR147" s="121"/>
      <c r="MS147" s="121"/>
      <c r="MT147" s="121"/>
      <c r="MU147" s="121"/>
      <c r="MV147" s="121"/>
      <c r="MW147" s="121"/>
      <c r="MX147" s="121"/>
      <c r="MY147" s="121"/>
      <c r="MZ147" s="121"/>
      <c r="NA147" s="121"/>
      <c r="NB147" s="121"/>
      <c r="NC147" s="121"/>
      <c r="ND147" s="121"/>
      <c r="NE147" s="121"/>
      <c r="NF147" s="121"/>
      <c r="NG147" s="121"/>
      <c r="NH147" s="121"/>
      <c r="NI147" s="121"/>
      <c r="NJ147" s="121"/>
      <c r="NK147" s="121"/>
      <c r="NL147" s="121"/>
      <c r="NM147" s="121"/>
      <c r="NN147" s="121"/>
      <c r="NO147" s="121"/>
      <c r="NP147" s="121"/>
      <c r="NQ147" s="121"/>
      <c r="NR147" s="121"/>
      <c r="NS147" s="121"/>
      <c r="NT147" s="121"/>
      <c r="NU147" s="121"/>
      <c r="NV147" s="121"/>
      <c r="NW147" s="121"/>
      <c r="NX147" s="121"/>
      <c r="NY147" s="121"/>
      <c r="NZ147" s="121"/>
      <c r="OA147" s="121"/>
      <c r="OB147" s="121"/>
      <c r="OC147" s="121"/>
      <c r="OD147" s="121"/>
      <c r="OE147" s="121"/>
      <c r="OF147" s="121"/>
      <c r="OG147" s="121"/>
      <c r="OH147" s="121"/>
      <c r="OI147" s="121"/>
      <c r="OJ147" s="121"/>
      <c r="OK147" s="121"/>
      <c r="OL147" s="121"/>
      <c r="OM147" s="121"/>
      <c r="ON147" s="121"/>
      <c r="OO147" s="121"/>
      <c r="OP147" s="121"/>
      <c r="OQ147" s="121"/>
      <c r="OR147" s="121"/>
      <c r="OS147" s="121"/>
      <c r="OT147" s="121"/>
      <c r="OU147" s="121"/>
      <c r="OV147" s="121"/>
      <c r="OW147" s="121"/>
      <c r="OX147" s="121"/>
      <c r="OY147" s="121"/>
      <c r="OZ147" s="121"/>
      <c r="PA147" s="121"/>
      <c r="PB147" s="121"/>
      <c r="PC147" s="121"/>
      <c r="PD147" s="121"/>
      <c r="PE147" s="121"/>
      <c r="PF147" s="121"/>
      <c r="PG147" s="121"/>
      <c r="PH147" s="121"/>
      <c r="PI147" s="121"/>
      <c r="PJ147" s="121"/>
      <c r="PK147" s="121"/>
      <c r="PL147" s="121"/>
      <c r="PM147" s="121"/>
      <c r="PN147" s="121"/>
      <c r="PO147" s="121"/>
      <c r="PP147" s="121"/>
      <c r="PQ147" s="121"/>
      <c r="PR147" s="121"/>
      <c r="PS147" s="121"/>
      <c r="PT147" s="121"/>
      <c r="PU147" s="121"/>
      <c r="PV147" s="121"/>
      <c r="PW147" s="121"/>
      <c r="PX147" s="121"/>
      <c r="PY147" s="121"/>
      <c r="PZ147" s="121"/>
      <c r="QA147" s="121"/>
      <c r="QB147" s="121"/>
      <c r="QC147" s="121"/>
      <c r="QD147" s="121"/>
      <c r="QE147" s="121"/>
      <c r="QF147" s="121"/>
      <c r="QG147" s="121"/>
      <c r="QH147" s="121"/>
      <c r="QI147" s="121"/>
      <c r="QJ147" s="121"/>
      <c r="QK147" s="121"/>
      <c r="QL147" s="121"/>
      <c r="QM147" s="121"/>
      <c r="QN147" s="121"/>
      <c r="QO147" s="121"/>
      <c r="QP147" s="121"/>
      <c r="QQ147" s="121"/>
      <c r="QR147" s="121"/>
      <c r="QS147" s="121"/>
      <c r="QT147" s="121"/>
      <c r="QU147" s="121"/>
      <c r="QV147" s="121"/>
      <c r="QW147" s="121"/>
      <c r="QX147" s="121"/>
      <c r="QY147" s="121"/>
      <c r="QZ147" s="121"/>
      <c r="RA147" s="121"/>
      <c r="RB147" s="121"/>
      <c r="RC147" s="121"/>
      <c r="RD147" s="121"/>
      <c r="RE147" s="121"/>
      <c r="RF147" s="121"/>
      <c r="RG147" s="121"/>
      <c r="RH147" s="121"/>
      <c r="RI147" s="121"/>
      <c r="RJ147" s="121"/>
      <c r="RK147" s="121"/>
      <c r="RL147" s="121"/>
      <c r="RM147" s="121"/>
      <c r="RN147" s="121"/>
      <c r="RO147" s="121"/>
      <c r="RP147" s="121"/>
      <c r="RQ147" s="121"/>
      <c r="RR147" s="121"/>
      <c r="RS147" s="121"/>
      <c r="RT147" s="121"/>
      <c r="RU147" s="121"/>
      <c r="RV147" s="121"/>
      <c r="RW147" s="121"/>
      <c r="RX147" s="121"/>
      <c r="RY147" s="121"/>
      <c r="RZ147" s="121"/>
      <c r="SA147" s="121"/>
      <c r="SB147" s="121"/>
      <c r="SC147" s="121"/>
      <c r="SD147" s="121"/>
      <c r="SE147" s="121"/>
      <c r="SF147" s="121"/>
      <c r="SG147" s="121"/>
      <c r="SH147" s="121"/>
      <c r="SI147" s="121"/>
      <c r="SJ147" s="121"/>
      <c r="SK147" s="121"/>
      <c r="SL147" s="121"/>
      <c r="SM147" s="121"/>
      <c r="SN147" s="121"/>
      <c r="SO147" s="121"/>
      <c r="SP147" s="121"/>
      <c r="SQ147" s="121"/>
      <c r="SR147" s="121"/>
      <c r="SS147" s="121"/>
      <c r="ST147" s="121"/>
      <c r="SU147" s="121"/>
      <c r="SV147" s="121"/>
      <c r="SW147" s="121"/>
      <c r="SX147" s="121"/>
      <c r="SY147" s="121"/>
      <c r="SZ147" s="121"/>
      <c r="TA147" s="121"/>
      <c r="TB147" s="121"/>
      <c r="TC147" s="121"/>
      <c r="TD147" s="121"/>
      <c r="TE147" s="121"/>
      <c r="TF147" s="121"/>
      <c r="TG147" s="121"/>
      <c r="TH147" s="121"/>
      <c r="TI147" s="121"/>
      <c r="TJ147" s="121"/>
      <c r="TK147" s="121"/>
      <c r="TL147" s="121"/>
      <c r="TM147" s="121"/>
      <c r="TN147" s="121"/>
      <c r="TO147" s="121"/>
      <c r="TP147" s="121"/>
      <c r="TQ147" s="121"/>
      <c r="TR147" s="121"/>
      <c r="TS147" s="121"/>
      <c r="TT147" s="121"/>
      <c r="TU147" s="121"/>
      <c r="TV147" s="121"/>
      <c r="TW147" s="121"/>
      <c r="TX147" s="121"/>
      <c r="TY147" s="121"/>
      <c r="TZ147" s="121"/>
      <c r="UA147" s="121"/>
      <c r="UB147" s="121"/>
      <c r="UC147" s="121"/>
      <c r="UD147" s="121"/>
      <c r="UE147" s="121"/>
      <c r="UF147" s="121"/>
      <c r="UG147" s="121"/>
      <c r="UH147" s="121"/>
      <c r="UI147" s="121"/>
      <c r="UJ147" s="121"/>
      <c r="UK147" s="121"/>
      <c r="UL147" s="121"/>
      <c r="UM147" s="121"/>
      <c r="UN147" s="121"/>
      <c r="UO147" s="121"/>
      <c r="UP147" s="121"/>
      <c r="UQ147" s="121"/>
      <c r="UR147" s="121"/>
      <c r="US147" s="121"/>
      <c r="UT147" s="121"/>
      <c r="UU147" s="121"/>
      <c r="UV147" s="121"/>
      <c r="UW147" s="121"/>
      <c r="UX147" s="121"/>
      <c r="UY147" s="121"/>
      <c r="UZ147" s="121"/>
      <c r="VA147" s="121"/>
      <c r="VB147" s="121"/>
      <c r="VC147" s="121"/>
      <c r="VD147" s="121"/>
      <c r="VE147" s="121"/>
      <c r="VF147" s="121"/>
      <c r="VG147" s="121"/>
      <c r="VH147" s="121"/>
      <c r="VI147" s="121"/>
      <c r="VJ147" s="121"/>
      <c r="VK147" s="121"/>
      <c r="VL147" s="121"/>
      <c r="VM147" s="121"/>
      <c r="VN147" s="121"/>
      <c r="VO147" s="121"/>
      <c r="VP147" s="121"/>
      <c r="VQ147" s="121"/>
      <c r="VR147" s="121"/>
      <c r="VS147" s="121"/>
      <c r="VT147" s="121"/>
      <c r="VU147" s="121"/>
      <c r="VV147" s="121"/>
      <c r="VW147" s="121"/>
      <c r="VX147" s="121"/>
      <c r="VY147" s="121"/>
      <c r="VZ147" s="121"/>
      <c r="WA147" s="121"/>
      <c r="WB147" s="121"/>
      <c r="WC147" s="121"/>
      <c r="WD147" s="121"/>
      <c r="WE147" s="121"/>
      <c r="WF147" s="121"/>
      <c r="WG147" s="121"/>
      <c r="WH147" s="121"/>
      <c r="WI147" s="121"/>
      <c r="WJ147" s="121"/>
      <c r="WK147" s="121"/>
      <c r="WL147" s="121"/>
      <c r="WM147" s="121"/>
      <c r="WN147" s="121"/>
      <c r="WO147" s="121"/>
      <c r="WP147" s="121"/>
      <c r="WQ147" s="121"/>
      <c r="WR147" s="121"/>
      <c r="WS147" s="121"/>
      <c r="WT147" s="121"/>
      <c r="WU147" s="121"/>
      <c r="WV147" s="121"/>
      <c r="WW147" s="121"/>
      <c r="WX147" s="121"/>
      <c r="WY147" s="121"/>
      <c r="WZ147" s="121"/>
      <c r="XA147" s="121"/>
      <c r="XB147" s="121"/>
      <c r="XC147" s="121"/>
      <c r="XD147" s="121"/>
      <c r="XE147" s="121"/>
      <c r="XF147" s="121"/>
      <c r="XG147" s="121"/>
      <c r="XH147" s="121"/>
      <c r="XI147" s="121"/>
      <c r="XJ147" s="121"/>
      <c r="XK147" s="121"/>
      <c r="XL147" s="121"/>
      <c r="XM147" s="121"/>
      <c r="XN147" s="121"/>
      <c r="XO147" s="121"/>
      <c r="XP147" s="121"/>
      <c r="XQ147" s="121"/>
      <c r="XR147" s="121"/>
      <c r="XS147" s="121"/>
      <c r="XT147" s="121"/>
      <c r="XU147" s="121"/>
      <c r="XV147" s="121"/>
      <c r="XW147" s="121"/>
      <c r="XX147" s="121"/>
      <c r="XY147" s="121"/>
      <c r="XZ147" s="121"/>
      <c r="YA147" s="121"/>
      <c r="YB147" s="121"/>
      <c r="YC147" s="121"/>
      <c r="YD147" s="121"/>
      <c r="YE147" s="121"/>
      <c r="YF147" s="121"/>
      <c r="YG147" s="121"/>
      <c r="YH147" s="121"/>
      <c r="YI147" s="121"/>
      <c r="YJ147" s="121"/>
      <c r="YK147" s="121"/>
      <c r="YL147" s="121"/>
      <c r="YM147" s="121"/>
      <c r="YN147" s="121"/>
      <c r="YO147" s="121"/>
      <c r="YP147" s="121"/>
      <c r="YQ147" s="121"/>
      <c r="YR147" s="121"/>
      <c r="YS147" s="121"/>
      <c r="YT147" s="121"/>
      <c r="YU147" s="121"/>
      <c r="YV147" s="121"/>
      <c r="YW147" s="121"/>
      <c r="YX147" s="121"/>
      <c r="YY147" s="121"/>
      <c r="YZ147" s="121"/>
      <c r="ZA147" s="121"/>
      <c r="ZB147" s="121"/>
      <c r="ZC147" s="121"/>
      <c r="ZD147" s="121"/>
      <c r="ZE147" s="121"/>
      <c r="ZF147" s="121"/>
      <c r="ZG147" s="121"/>
      <c r="ZH147" s="121"/>
      <c r="ZI147" s="121"/>
      <c r="ZJ147" s="121"/>
      <c r="ZK147" s="121"/>
      <c r="ZL147" s="121"/>
      <c r="ZM147" s="121"/>
      <c r="ZN147" s="121"/>
      <c r="ZO147" s="121"/>
      <c r="ZP147" s="121"/>
      <c r="ZQ147" s="121"/>
      <c r="ZR147" s="121"/>
      <c r="ZS147" s="121"/>
      <c r="ZT147" s="121"/>
      <c r="ZU147" s="121"/>
      <c r="ZV147" s="121"/>
      <c r="ZW147" s="121"/>
      <c r="ZX147" s="121"/>
      <c r="ZY147" s="121"/>
      <c r="ZZ147" s="121"/>
      <c r="AAA147" s="121"/>
      <c r="AAB147" s="121"/>
      <c r="AAC147" s="121"/>
      <c r="AAD147" s="121"/>
      <c r="AAE147" s="121"/>
      <c r="AAF147" s="121"/>
      <c r="AAG147" s="121"/>
      <c r="AAH147" s="121"/>
      <c r="AAI147" s="121"/>
      <c r="AAJ147" s="121"/>
      <c r="AAK147" s="121"/>
      <c r="AAL147" s="121"/>
      <c r="AAM147" s="121"/>
      <c r="AAN147" s="121"/>
      <c r="AAO147" s="121"/>
      <c r="AAP147" s="121"/>
      <c r="AAQ147" s="121"/>
      <c r="AAR147" s="121"/>
      <c r="AAS147" s="121"/>
      <c r="AAT147" s="121"/>
      <c r="AAU147" s="121"/>
      <c r="AAV147" s="121"/>
      <c r="AAW147" s="121"/>
      <c r="AAX147" s="121"/>
      <c r="AAY147" s="121"/>
      <c r="AAZ147" s="121"/>
      <c r="ABA147" s="121"/>
      <c r="ABB147" s="121"/>
      <c r="ABC147" s="121"/>
      <c r="ABD147" s="121"/>
      <c r="ABE147" s="121"/>
      <c r="ABF147" s="121"/>
      <c r="ABG147" s="121"/>
      <c r="ABH147" s="121"/>
      <c r="ABI147" s="121"/>
      <c r="ABJ147" s="121"/>
      <c r="ABK147" s="121"/>
      <c r="ABL147" s="121"/>
      <c r="ABM147" s="121"/>
      <c r="ABN147" s="121"/>
      <c r="ABO147" s="121"/>
      <c r="ABP147" s="121"/>
      <c r="ABQ147" s="121"/>
      <c r="ABR147" s="121"/>
      <c r="ABS147" s="121"/>
      <c r="ABT147" s="121"/>
      <c r="ABU147" s="121"/>
      <c r="ABV147" s="121"/>
      <c r="ABW147" s="121"/>
      <c r="ABX147" s="121"/>
      <c r="ABY147" s="121"/>
      <c r="ABZ147" s="121"/>
      <c r="ACA147" s="121"/>
      <c r="ACB147" s="121"/>
      <c r="ACC147" s="121"/>
      <c r="ACD147" s="121"/>
      <c r="ACE147" s="121"/>
      <c r="ACF147" s="121"/>
      <c r="ACG147" s="121"/>
      <c r="ACH147" s="121"/>
      <c r="ACI147" s="121"/>
      <c r="ACJ147" s="121"/>
      <c r="ACK147" s="121"/>
      <c r="ACL147" s="121"/>
      <c r="ACM147" s="121"/>
      <c r="ACN147" s="121"/>
      <c r="ACO147" s="121"/>
      <c r="ACP147" s="121"/>
      <c r="ACQ147" s="121"/>
      <c r="ACR147" s="121"/>
      <c r="ACS147" s="121"/>
      <c r="ACT147" s="121"/>
      <c r="ACU147" s="121"/>
      <c r="ACV147" s="121"/>
      <c r="ACW147" s="121"/>
      <c r="ACX147" s="121"/>
      <c r="ACY147" s="121"/>
      <c r="ACZ147" s="121"/>
      <c r="ADA147" s="121"/>
      <c r="ADB147" s="121"/>
      <c r="ADC147" s="121"/>
      <c r="ADD147" s="121"/>
      <c r="ADE147" s="121"/>
      <c r="ADF147" s="121"/>
      <c r="ADG147" s="121"/>
      <c r="ADH147" s="121"/>
      <c r="ADI147" s="121"/>
      <c r="ADJ147" s="121"/>
      <c r="ADK147" s="121"/>
      <c r="ADL147" s="121"/>
      <c r="ADM147" s="121"/>
      <c r="ADN147" s="121"/>
      <c r="ADO147" s="121"/>
      <c r="ADP147" s="121"/>
      <c r="ADQ147" s="121"/>
      <c r="ADR147" s="121"/>
      <c r="ADS147" s="121"/>
      <c r="ADT147" s="121"/>
      <c r="ADU147" s="121"/>
      <c r="ADV147" s="121"/>
      <c r="ADW147" s="121"/>
      <c r="ADX147" s="121"/>
      <c r="ADY147" s="121"/>
      <c r="ADZ147" s="121"/>
      <c r="AEA147" s="121"/>
      <c r="AEB147" s="121"/>
      <c r="AEC147" s="121"/>
      <c r="AED147" s="121"/>
      <c r="AEE147" s="121"/>
      <c r="AEF147" s="121"/>
      <c r="AEG147" s="121"/>
      <c r="AEH147" s="121"/>
      <c r="AEI147" s="121"/>
      <c r="AEJ147" s="121"/>
      <c r="AEK147" s="121"/>
      <c r="AEL147" s="121"/>
      <c r="AEM147" s="121"/>
      <c r="AEN147" s="121"/>
      <c r="AEO147" s="121"/>
      <c r="AEP147" s="121"/>
      <c r="AEQ147" s="121"/>
      <c r="AER147" s="121"/>
      <c r="AES147" s="121"/>
      <c r="AET147" s="121"/>
      <c r="AEU147" s="121"/>
      <c r="AEV147" s="121"/>
      <c r="AEW147" s="121"/>
      <c r="AEX147" s="121"/>
      <c r="AEY147" s="121"/>
      <c r="AEZ147" s="121"/>
      <c r="AFA147" s="121"/>
      <c r="AFB147" s="121"/>
      <c r="AFC147" s="121"/>
      <c r="AFD147" s="121"/>
      <c r="AFE147" s="121"/>
      <c r="AFF147" s="121"/>
      <c r="AFG147" s="121"/>
      <c r="AFH147" s="121"/>
      <c r="AFI147" s="121"/>
      <c r="AFJ147" s="121"/>
      <c r="AFK147" s="121"/>
      <c r="AFL147" s="121"/>
      <c r="AFM147" s="121"/>
      <c r="AFN147" s="121"/>
      <c r="AFO147" s="121"/>
      <c r="AFP147" s="121"/>
      <c r="AFQ147" s="121"/>
      <c r="AFR147" s="121"/>
      <c r="AFS147" s="121"/>
      <c r="AFT147" s="121"/>
      <c r="AFU147" s="121"/>
      <c r="AFV147" s="121"/>
      <c r="AFW147" s="121"/>
      <c r="AFX147" s="121"/>
      <c r="AFY147" s="121"/>
      <c r="AFZ147" s="121"/>
      <c r="AGA147" s="121"/>
      <c r="AGB147" s="121"/>
      <c r="AGC147" s="121"/>
      <c r="AGD147" s="121"/>
      <c r="AGE147" s="121"/>
    </row>
    <row r="148" spans="1:863" s="189" customFormat="1" ht="15.75" customHeight="1" x14ac:dyDescent="0.25">
      <c r="A148" s="390">
        <v>43374</v>
      </c>
      <c r="B148" s="357" t="s">
        <v>118</v>
      </c>
      <c r="C148" s="187" t="s">
        <v>31</v>
      </c>
      <c r="D148" s="187" t="s">
        <v>30</v>
      </c>
      <c r="E148" s="187" t="s">
        <v>81</v>
      </c>
      <c r="F148" s="187">
        <v>87</v>
      </c>
      <c r="G148" s="187">
        <v>36</v>
      </c>
      <c r="H148" s="493"/>
      <c r="I148" s="187">
        <v>352</v>
      </c>
      <c r="J148" s="188"/>
      <c r="K148" s="310" t="s">
        <v>397</v>
      </c>
      <c r="L148" s="311" t="s">
        <v>395</v>
      </c>
      <c r="M148" s="24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1"/>
      <c r="BK148" s="121"/>
      <c r="BL148" s="121"/>
      <c r="BM148" s="121"/>
      <c r="BN148" s="121"/>
      <c r="BO148" s="121"/>
      <c r="BP148" s="121"/>
      <c r="BQ148" s="121"/>
      <c r="BR148" s="121"/>
      <c r="BS148" s="121"/>
      <c r="BT148" s="121"/>
      <c r="BU148" s="121"/>
      <c r="BV148" s="121"/>
      <c r="BW148" s="121"/>
      <c r="BX148" s="121"/>
      <c r="BY148" s="121"/>
      <c r="BZ148" s="121"/>
      <c r="CA148" s="121"/>
      <c r="CB148" s="121"/>
      <c r="CC148" s="121"/>
      <c r="CD148" s="121"/>
      <c r="CE148" s="121"/>
      <c r="CF148" s="121"/>
      <c r="CG148" s="121"/>
      <c r="CH148" s="121"/>
      <c r="CI148" s="121"/>
      <c r="CJ148" s="121"/>
      <c r="CK148" s="121"/>
      <c r="CL148" s="121"/>
      <c r="CM148" s="121"/>
      <c r="CN148" s="121"/>
      <c r="CO148" s="121"/>
      <c r="CP148" s="121"/>
      <c r="CQ148" s="121"/>
      <c r="CR148" s="121"/>
      <c r="CS148" s="121"/>
      <c r="CT148" s="121"/>
      <c r="CU148" s="121"/>
      <c r="CV148" s="121"/>
      <c r="CW148" s="121"/>
      <c r="CX148" s="121"/>
      <c r="CY148" s="121"/>
      <c r="CZ148" s="121"/>
      <c r="DA148" s="121"/>
      <c r="DB148" s="121"/>
      <c r="DC148" s="121"/>
      <c r="DD148" s="121"/>
      <c r="DE148" s="121"/>
      <c r="DF148" s="121"/>
      <c r="DG148" s="121"/>
      <c r="DH148" s="121"/>
      <c r="DI148" s="121"/>
      <c r="DJ148" s="121"/>
      <c r="DK148" s="121"/>
      <c r="DL148" s="121"/>
      <c r="DM148" s="121"/>
      <c r="DN148" s="121"/>
      <c r="DO148" s="121"/>
      <c r="DP148" s="121"/>
      <c r="DQ148" s="121"/>
      <c r="DR148" s="121"/>
      <c r="DS148" s="121"/>
      <c r="DT148" s="121"/>
      <c r="DU148" s="121"/>
      <c r="DV148" s="121"/>
      <c r="DW148" s="121"/>
      <c r="DX148" s="121"/>
      <c r="DY148" s="121"/>
      <c r="DZ148" s="121"/>
      <c r="EA148" s="121"/>
      <c r="EB148" s="121"/>
      <c r="EC148" s="121"/>
      <c r="ED148" s="121"/>
      <c r="EE148" s="121"/>
      <c r="EF148" s="121"/>
      <c r="EG148" s="121"/>
      <c r="EH148" s="121"/>
      <c r="EI148" s="121"/>
      <c r="EJ148" s="121"/>
      <c r="EK148" s="121"/>
      <c r="EL148" s="121"/>
      <c r="EM148" s="121"/>
      <c r="EN148" s="121"/>
      <c r="EO148" s="121"/>
      <c r="EP148" s="121"/>
      <c r="EQ148" s="121"/>
      <c r="ER148" s="121"/>
      <c r="ES148" s="121"/>
      <c r="ET148" s="121"/>
      <c r="EU148" s="121"/>
      <c r="EV148" s="121"/>
      <c r="EW148" s="121"/>
      <c r="EX148" s="121"/>
      <c r="EY148" s="121"/>
      <c r="EZ148" s="121"/>
      <c r="FA148" s="121"/>
      <c r="FB148" s="121"/>
      <c r="FC148" s="121"/>
      <c r="FD148" s="121"/>
      <c r="FE148" s="121"/>
      <c r="FF148" s="121"/>
      <c r="FG148" s="121"/>
      <c r="FH148" s="121"/>
      <c r="FI148" s="121"/>
      <c r="FJ148" s="121"/>
      <c r="FK148" s="121"/>
      <c r="FL148" s="121"/>
      <c r="FM148" s="121"/>
      <c r="FN148" s="121"/>
      <c r="FO148" s="121"/>
      <c r="FP148" s="121"/>
      <c r="FQ148" s="121"/>
      <c r="FR148" s="121"/>
      <c r="FS148" s="121"/>
      <c r="FT148" s="121"/>
      <c r="FU148" s="121"/>
      <c r="FV148" s="121"/>
      <c r="FW148" s="121"/>
      <c r="FX148" s="121"/>
      <c r="FY148" s="121"/>
      <c r="FZ148" s="121"/>
      <c r="GA148" s="121"/>
      <c r="GB148" s="121"/>
      <c r="GC148" s="121"/>
      <c r="GD148" s="121"/>
      <c r="GE148" s="121"/>
      <c r="GF148" s="121"/>
      <c r="GG148" s="121"/>
      <c r="GH148" s="121"/>
      <c r="GI148" s="121"/>
      <c r="GJ148" s="121"/>
      <c r="GK148" s="121"/>
      <c r="GL148" s="121"/>
      <c r="GM148" s="121"/>
      <c r="GN148" s="121"/>
      <c r="GO148" s="121"/>
      <c r="GP148" s="121"/>
      <c r="GQ148" s="121"/>
      <c r="GR148" s="121"/>
      <c r="GS148" s="121"/>
      <c r="GT148" s="121"/>
      <c r="GU148" s="121"/>
      <c r="GV148" s="121"/>
      <c r="GW148" s="121"/>
      <c r="GX148" s="121"/>
      <c r="GY148" s="121"/>
      <c r="GZ148" s="121"/>
      <c r="HA148" s="121"/>
      <c r="HB148" s="121"/>
      <c r="HC148" s="121"/>
      <c r="HD148" s="121"/>
      <c r="HE148" s="121"/>
      <c r="HF148" s="121"/>
      <c r="HG148" s="121"/>
      <c r="HH148" s="121"/>
      <c r="HI148" s="121"/>
      <c r="HJ148" s="121"/>
      <c r="HK148" s="121"/>
      <c r="HL148" s="121"/>
      <c r="HM148" s="121"/>
      <c r="HN148" s="121"/>
      <c r="HO148" s="121"/>
      <c r="HP148" s="121"/>
      <c r="HQ148" s="121"/>
      <c r="HR148" s="121"/>
      <c r="HS148" s="121"/>
      <c r="HT148" s="121"/>
      <c r="HU148" s="121"/>
      <c r="HV148" s="121"/>
      <c r="HW148" s="121"/>
      <c r="HX148" s="121"/>
      <c r="HY148" s="121"/>
      <c r="HZ148" s="121"/>
      <c r="IA148" s="121"/>
      <c r="IB148" s="121"/>
      <c r="IC148" s="121"/>
      <c r="ID148" s="121"/>
      <c r="IE148" s="121"/>
      <c r="IF148" s="121"/>
      <c r="IG148" s="121"/>
      <c r="IH148" s="121"/>
      <c r="II148" s="121"/>
      <c r="IJ148" s="121"/>
      <c r="IK148" s="121"/>
      <c r="IL148" s="121"/>
      <c r="IM148" s="121"/>
      <c r="IN148" s="121"/>
      <c r="IO148" s="121"/>
      <c r="IP148" s="121"/>
      <c r="IQ148" s="121"/>
      <c r="IR148" s="121"/>
      <c r="IS148" s="121"/>
      <c r="IT148" s="121"/>
      <c r="IU148" s="121"/>
      <c r="IV148" s="121"/>
      <c r="IW148" s="121"/>
      <c r="IX148" s="121"/>
      <c r="IY148" s="121"/>
      <c r="IZ148" s="121"/>
      <c r="JA148" s="121"/>
      <c r="JB148" s="121"/>
      <c r="JC148" s="121"/>
      <c r="JD148" s="121"/>
      <c r="JE148" s="121"/>
      <c r="JF148" s="121"/>
      <c r="JG148" s="121"/>
      <c r="JH148" s="121"/>
      <c r="JI148" s="121"/>
      <c r="JJ148" s="121"/>
      <c r="JK148" s="121"/>
      <c r="JL148" s="121"/>
      <c r="JM148" s="121"/>
      <c r="JN148" s="121"/>
      <c r="JO148" s="121"/>
      <c r="JP148" s="121"/>
      <c r="JQ148" s="121"/>
      <c r="JR148" s="121"/>
      <c r="JS148" s="121"/>
      <c r="JT148" s="121"/>
      <c r="JU148" s="121"/>
      <c r="JV148" s="121"/>
      <c r="JW148" s="121"/>
      <c r="JX148" s="121"/>
      <c r="JY148" s="121"/>
      <c r="JZ148" s="121"/>
      <c r="KA148" s="121"/>
      <c r="KB148" s="121"/>
      <c r="KC148" s="121"/>
      <c r="KD148" s="121"/>
      <c r="KE148" s="121"/>
      <c r="KF148" s="121"/>
      <c r="KG148" s="121"/>
      <c r="KH148" s="121"/>
      <c r="KI148" s="121"/>
      <c r="KJ148" s="121"/>
      <c r="KK148" s="121"/>
      <c r="KL148" s="121"/>
      <c r="KM148" s="121"/>
      <c r="KN148" s="121"/>
      <c r="KO148" s="121"/>
      <c r="KP148" s="121"/>
      <c r="KQ148" s="121"/>
      <c r="KR148" s="121"/>
      <c r="KS148" s="121"/>
      <c r="KT148" s="121"/>
      <c r="KU148" s="121"/>
      <c r="KV148" s="121"/>
      <c r="KW148" s="121"/>
      <c r="KX148" s="121"/>
      <c r="KY148" s="121"/>
      <c r="KZ148" s="121"/>
      <c r="LA148" s="121"/>
      <c r="LB148" s="121"/>
      <c r="LC148" s="121"/>
      <c r="LD148" s="121"/>
      <c r="LE148" s="121"/>
      <c r="LF148" s="121"/>
      <c r="LG148" s="121"/>
      <c r="LH148" s="121"/>
      <c r="LI148" s="121"/>
      <c r="LJ148" s="121"/>
      <c r="LK148" s="121"/>
      <c r="LL148" s="121"/>
      <c r="LM148" s="121"/>
      <c r="LN148" s="121"/>
      <c r="LO148" s="121"/>
      <c r="LP148" s="121"/>
      <c r="LQ148" s="121"/>
      <c r="LR148" s="121"/>
      <c r="LS148" s="121"/>
      <c r="LT148" s="121"/>
      <c r="LU148" s="121"/>
      <c r="LV148" s="121"/>
      <c r="LW148" s="121"/>
      <c r="LX148" s="121"/>
      <c r="LY148" s="121"/>
      <c r="LZ148" s="121"/>
      <c r="MA148" s="121"/>
      <c r="MB148" s="121"/>
      <c r="MC148" s="121"/>
      <c r="MD148" s="121"/>
      <c r="ME148" s="121"/>
      <c r="MF148" s="121"/>
      <c r="MG148" s="121"/>
      <c r="MH148" s="121"/>
      <c r="MI148" s="121"/>
      <c r="MJ148" s="121"/>
      <c r="MK148" s="121"/>
      <c r="ML148" s="121"/>
      <c r="MM148" s="121"/>
      <c r="MN148" s="121"/>
      <c r="MO148" s="121"/>
      <c r="MP148" s="121"/>
      <c r="MQ148" s="121"/>
      <c r="MR148" s="121"/>
      <c r="MS148" s="121"/>
      <c r="MT148" s="121"/>
      <c r="MU148" s="121"/>
      <c r="MV148" s="121"/>
      <c r="MW148" s="121"/>
      <c r="MX148" s="121"/>
      <c r="MY148" s="121"/>
      <c r="MZ148" s="121"/>
      <c r="NA148" s="121"/>
      <c r="NB148" s="121"/>
      <c r="NC148" s="121"/>
      <c r="ND148" s="121"/>
      <c r="NE148" s="121"/>
      <c r="NF148" s="121"/>
      <c r="NG148" s="121"/>
      <c r="NH148" s="121"/>
      <c r="NI148" s="121"/>
      <c r="NJ148" s="121"/>
      <c r="NK148" s="121"/>
      <c r="NL148" s="121"/>
      <c r="NM148" s="121"/>
      <c r="NN148" s="121"/>
      <c r="NO148" s="121"/>
      <c r="NP148" s="121"/>
      <c r="NQ148" s="121"/>
      <c r="NR148" s="121"/>
      <c r="NS148" s="121"/>
      <c r="NT148" s="121"/>
      <c r="NU148" s="121"/>
      <c r="NV148" s="121"/>
      <c r="NW148" s="121"/>
      <c r="NX148" s="121"/>
      <c r="NY148" s="121"/>
      <c r="NZ148" s="121"/>
      <c r="OA148" s="121"/>
      <c r="OB148" s="121"/>
      <c r="OC148" s="121"/>
      <c r="OD148" s="121"/>
      <c r="OE148" s="121"/>
      <c r="OF148" s="121"/>
      <c r="OG148" s="121"/>
      <c r="OH148" s="121"/>
      <c r="OI148" s="121"/>
      <c r="OJ148" s="121"/>
      <c r="OK148" s="121"/>
      <c r="OL148" s="121"/>
      <c r="OM148" s="121"/>
      <c r="ON148" s="121"/>
      <c r="OO148" s="121"/>
      <c r="OP148" s="121"/>
      <c r="OQ148" s="121"/>
      <c r="OR148" s="121"/>
      <c r="OS148" s="121"/>
      <c r="OT148" s="121"/>
      <c r="OU148" s="121"/>
      <c r="OV148" s="121"/>
      <c r="OW148" s="121"/>
      <c r="OX148" s="121"/>
      <c r="OY148" s="121"/>
      <c r="OZ148" s="121"/>
      <c r="PA148" s="121"/>
      <c r="PB148" s="121"/>
      <c r="PC148" s="121"/>
      <c r="PD148" s="121"/>
      <c r="PE148" s="121"/>
      <c r="PF148" s="121"/>
      <c r="PG148" s="121"/>
      <c r="PH148" s="121"/>
      <c r="PI148" s="121"/>
      <c r="PJ148" s="121"/>
      <c r="PK148" s="121"/>
      <c r="PL148" s="121"/>
      <c r="PM148" s="121"/>
      <c r="PN148" s="121"/>
      <c r="PO148" s="121"/>
      <c r="PP148" s="121"/>
      <c r="PQ148" s="121"/>
      <c r="PR148" s="121"/>
      <c r="PS148" s="121"/>
      <c r="PT148" s="121"/>
      <c r="PU148" s="121"/>
      <c r="PV148" s="121"/>
      <c r="PW148" s="121"/>
      <c r="PX148" s="121"/>
      <c r="PY148" s="121"/>
      <c r="PZ148" s="121"/>
      <c r="QA148" s="121"/>
      <c r="QB148" s="121"/>
      <c r="QC148" s="121"/>
      <c r="QD148" s="121"/>
      <c r="QE148" s="121"/>
      <c r="QF148" s="121"/>
      <c r="QG148" s="121"/>
      <c r="QH148" s="121"/>
      <c r="QI148" s="121"/>
      <c r="QJ148" s="121"/>
      <c r="QK148" s="121"/>
      <c r="QL148" s="121"/>
      <c r="QM148" s="121"/>
      <c r="QN148" s="121"/>
      <c r="QO148" s="121"/>
      <c r="QP148" s="121"/>
      <c r="QQ148" s="121"/>
      <c r="QR148" s="121"/>
      <c r="QS148" s="121"/>
      <c r="QT148" s="121"/>
      <c r="QU148" s="121"/>
      <c r="QV148" s="121"/>
      <c r="QW148" s="121"/>
      <c r="QX148" s="121"/>
      <c r="QY148" s="121"/>
      <c r="QZ148" s="121"/>
      <c r="RA148" s="121"/>
      <c r="RB148" s="121"/>
      <c r="RC148" s="121"/>
      <c r="RD148" s="121"/>
      <c r="RE148" s="121"/>
      <c r="RF148" s="121"/>
      <c r="RG148" s="121"/>
      <c r="RH148" s="121"/>
      <c r="RI148" s="121"/>
      <c r="RJ148" s="121"/>
      <c r="RK148" s="121"/>
      <c r="RL148" s="121"/>
      <c r="RM148" s="121"/>
      <c r="RN148" s="121"/>
      <c r="RO148" s="121"/>
      <c r="RP148" s="121"/>
      <c r="RQ148" s="121"/>
      <c r="RR148" s="121"/>
      <c r="RS148" s="121"/>
      <c r="RT148" s="121"/>
      <c r="RU148" s="121"/>
      <c r="RV148" s="121"/>
      <c r="RW148" s="121"/>
      <c r="RX148" s="121"/>
      <c r="RY148" s="121"/>
      <c r="RZ148" s="121"/>
      <c r="SA148" s="121"/>
      <c r="SB148" s="121"/>
      <c r="SC148" s="121"/>
      <c r="SD148" s="121"/>
      <c r="SE148" s="121"/>
      <c r="SF148" s="121"/>
      <c r="SG148" s="121"/>
      <c r="SH148" s="121"/>
      <c r="SI148" s="121"/>
      <c r="SJ148" s="121"/>
      <c r="SK148" s="121"/>
      <c r="SL148" s="121"/>
      <c r="SM148" s="121"/>
      <c r="SN148" s="121"/>
      <c r="SO148" s="121"/>
      <c r="SP148" s="121"/>
      <c r="SQ148" s="121"/>
      <c r="SR148" s="121"/>
      <c r="SS148" s="121"/>
      <c r="ST148" s="121"/>
      <c r="SU148" s="121"/>
      <c r="SV148" s="121"/>
      <c r="SW148" s="121"/>
      <c r="SX148" s="121"/>
      <c r="SY148" s="121"/>
      <c r="SZ148" s="121"/>
      <c r="TA148" s="121"/>
      <c r="TB148" s="121"/>
      <c r="TC148" s="121"/>
      <c r="TD148" s="121"/>
      <c r="TE148" s="121"/>
      <c r="TF148" s="121"/>
      <c r="TG148" s="121"/>
      <c r="TH148" s="121"/>
      <c r="TI148" s="121"/>
      <c r="TJ148" s="121"/>
      <c r="TK148" s="121"/>
      <c r="TL148" s="121"/>
      <c r="TM148" s="121"/>
      <c r="TN148" s="121"/>
      <c r="TO148" s="121"/>
      <c r="TP148" s="121"/>
      <c r="TQ148" s="121"/>
      <c r="TR148" s="121"/>
      <c r="TS148" s="121"/>
      <c r="TT148" s="121"/>
      <c r="TU148" s="121"/>
      <c r="TV148" s="121"/>
      <c r="TW148" s="121"/>
      <c r="TX148" s="121"/>
      <c r="TY148" s="121"/>
      <c r="TZ148" s="121"/>
      <c r="UA148" s="121"/>
      <c r="UB148" s="121"/>
      <c r="UC148" s="121"/>
      <c r="UD148" s="121"/>
      <c r="UE148" s="121"/>
      <c r="UF148" s="121"/>
      <c r="UG148" s="121"/>
      <c r="UH148" s="121"/>
      <c r="UI148" s="121"/>
      <c r="UJ148" s="121"/>
      <c r="UK148" s="121"/>
      <c r="UL148" s="121"/>
      <c r="UM148" s="121"/>
      <c r="UN148" s="121"/>
      <c r="UO148" s="121"/>
      <c r="UP148" s="121"/>
      <c r="UQ148" s="121"/>
      <c r="UR148" s="121"/>
      <c r="US148" s="121"/>
      <c r="UT148" s="121"/>
      <c r="UU148" s="121"/>
      <c r="UV148" s="121"/>
      <c r="UW148" s="121"/>
      <c r="UX148" s="121"/>
      <c r="UY148" s="121"/>
      <c r="UZ148" s="121"/>
      <c r="VA148" s="121"/>
      <c r="VB148" s="121"/>
      <c r="VC148" s="121"/>
      <c r="VD148" s="121"/>
      <c r="VE148" s="121"/>
      <c r="VF148" s="121"/>
      <c r="VG148" s="121"/>
      <c r="VH148" s="121"/>
      <c r="VI148" s="121"/>
      <c r="VJ148" s="121"/>
      <c r="VK148" s="121"/>
      <c r="VL148" s="121"/>
      <c r="VM148" s="121"/>
      <c r="VN148" s="121"/>
      <c r="VO148" s="121"/>
      <c r="VP148" s="121"/>
      <c r="VQ148" s="121"/>
      <c r="VR148" s="121"/>
      <c r="VS148" s="121"/>
      <c r="VT148" s="121"/>
      <c r="VU148" s="121"/>
      <c r="VV148" s="121"/>
      <c r="VW148" s="121"/>
      <c r="VX148" s="121"/>
      <c r="VY148" s="121"/>
      <c r="VZ148" s="121"/>
      <c r="WA148" s="121"/>
      <c r="WB148" s="121"/>
      <c r="WC148" s="121"/>
      <c r="WD148" s="121"/>
      <c r="WE148" s="121"/>
      <c r="WF148" s="121"/>
      <c r="WG148" s="121"/>
      <c r="WH148" s="121"/>
      <c r="WI148" s="121"/>
      <c r="WJ148" s="121"/>
      <c r="WK148" s="121"/>
      <c r="WL148" s="121"/>
      <c r="WM148" s="121"/>
      <c r="WN148" s="121"/>
      <c r="WO148" s="121"/>
      <c r="WP148" s="121"/>
      <c r="WQ148" s="121"/>
      <c r="WR148" s="121"/>
      <c r="WS148" s="121"/>
      <c r="WT148" s="121"/>
      <c r="WU148" s="121"/>
      <c r="WV148" s="121"/>
      <c r="WW148" s="121"/>
      <c r="WX148" s="121"/>
      <c r="WY148" s="121"/>
      <c r="WZ148" s="121"/>
      <c r="XA148" s="121"/>
      <c r="XB148" s="121"/>
      <c r="XC148" s="121"/>
      <c r="XD148" s="121"/>
      <c r="XE148" s="121"/>
      <c r="XF148" s="121"/>
      <c r="XG148" s="121"/>
      <c r="XH148" s="121"/>
      <c r="XI148" s="121"/>
      <c r="XJ148" s="121"/>
      <c r="XK148" s="121"/>
      <c r="XL148" s="121"/>
      <c r="XM148" s="121"/>
      <c r="XN148" s="121"/>
      <c r="XO148" s="121"/>
      <c r="XP148" s="121"/>
      <c r="XQ148" s="121"/>
      <c r="XR148" s="121"/>
      <c r="XS148" s="121"/>
      <c r="XT148" s="121"/>
      <c r="XU148" s="121"/>
      <c r="XV148" s="121"/>
      <c r="XW148" s="121"/>
      <c r="XX148" s="121"/>
      <c r="XY148" s="121"/>
      <c r="XZ148" s="121"/>
      <c r="YA148" s="121"/>
      <c r="YB148" s="121"/>
      <c r="YC148" s="121"/>
      <c r="YD148" s="121"/>
      <c r="YE148" s="121"/>
      <c r="YF148" s="121"/>
      <c r="YG148" s="121"/>
      <c r="YH148" s="121"/>
      <c r="YI148" s="121"/>
      <c r="YJ148" s="121"/>
      <c r="YK148" s="121"/>
      <c r="YL148" s="121"/>
      <c r="YM148" s="121"/>
      <c r="YN148" s="121"/>
      <c r="YO148" s="121"/>
      <c r="YP148" s="121"/>
      <c r="YQ148" s="121"/>
      <c r="YR148" s="121"/>
      <c r="YS148" s="121"/>
      <c r="YT148" s="121"/>
      <c r="YU148" s="121"/>
      <c r="YV148" s="121"/>
      <c r="YW148" s="121"/>
      <c r="YX148" s="121"/>
      <c r="YY148" s="121"/>
      <c r="YZ148" s="121"/>
      <c r="ZA148" s="121"/>
      <c r="ZB148" s="121"/>
      <c r="ZC148" s="121"/>
      <c r="ZD148" s="121"/>
      <c r="ZE148" s="121"/>
      <c r="ZF148" s="121"/>
      <c r="ZG148" s="121"/>
      <c r="ZH148" s="121"/>
      <c r="ZI148" s="121"/>
      <c r="ZJ148" s="121"/>
      <c r="ZK148" s="121"/>
      <c r="ZL148" s="121"/>
      <c r="ZM148" s="121"/>
      <c r="ZN148" s="121"/>
      <c r="ZO148" s="121"/>
      <c r="ZP148" s="121"/>
      <c r="ZQ148" s="121"/>
      <c r="ZR148" s="121"/>
      <c r="ZS148" s="121"/>
      <c r="ZT148" s="121"/>
      <c r="ZU148" s="121"/>
      <c r="ZV148" s="121"/>
      <c r="ZW148" s="121"/>
      <c r="ZX148" s="121"/>
      <c r="ZY148" s="121"/>
      <c r="ZZ148" s="121"/>
      <c r="AAA148" s="121"/>
      <c r="AAB148" s="121"/>
      <c r="AAC148" s="121"/>
      <c r="AAD148" s="121"/>
      <c r="AAE148" s="121"/>
      <c r="AAF148" s="121"/>
      <c r="AAG148" s="121"/>
      <c r="AAH148" s="121"/>
      <c r="AAI148" s="121"/>
      <c r="AAJ148" s="121"/>
      <c r="AAK148" s="121"/>
      <c r="AAL148" s="121"/>
      <c r="AAM148" s="121"/>
      <c r="AAN148" s="121"/>
      <c r="AAO148" s="121"/>
      <c r="AAP148" s="121"/>
      <c r="AAQ148" s="121"/>
      <c r="AAR148" s="121"/>
      <c r="AAS148" s="121"/>
      <c r="AAT148" s="121"/>
      <c r="AAU148" s="121"/>
      <c r="AAV148" s="121"/>
      <c r="AAW148" s="121"/>
      <c r="AAX148" s="121"/>
      <c r="AAY148" s="121"/>
      <c r="AAZ148" s="121"/>
      <c r="ABA148" s="121"/>
      <c r="ABB148" s="121"/>
      <c r="ABC148" s="121"/>
      <c r="ABD148" s="121"/>
      <c r="ABE148" s="121"/>
      <c r="ABF148" s="121"/>
      <c r="ABG148" s="121"/>
      <c r="ABH148" s="121"/>
      <c r="ABI148" s="121"/>
      <c r="ABJ148" s="121"/>
      <c r="ABK148" s="121"/>
      <c r="ABL148" s="121"/>
      <c r="ABM148" s="121"/>
      <c r="ABN148" s="121"/>
      <c r="ABO148" s="121"/>
      <c r="ABP148" s="121"/>
      <c r="ABQ148" s="121"/>
      <c r="ABR148" s="121"/>
      <c r="ABS148" s="121"/>
      <c r="ABT148" s="121"/>
      <c r="ABU148" s="121"/>
      <c r="ABV148" s="121"/>
      <c r="ABW148" s="121"/>
      <c r="ABX148" s="121"/>
      <c r="ABY148" s="121"/>
      <c r="ABZ148" s="121"/>
      <c r="ACA148" s="121"/>
      <c r="ACB148" s="121"/>
      <c r="ACC148" s="121"/>
      <c r="ACD148" s="121"/>
      <c r="ACE148" s="121"/>
      <c r="ACF148" s="121"/>
      <c r="ACG148" s="121"/>
      <c r="ACH148" s="121"/>
      <c r="ACI148" s="121"/>
      <c r="ACJ148" s="121"/>
      <c r="ACK148" s="121"/>
      <c r="ACL148" s="121"/>
      <c r="ACM148" s="121"/>
      <c r="ACN148" s="121"/>
      <c r="ACO148" s="121"/>
      <c r="ACP148" s="121"/>
      <c r="ACQ148" s="121"/>
      <c r="ACR148" s="121"/>
      <c r="ACS148" s="121"/>
      <c r="ACT148" s="121"/>
      <c r="ACU148" s="121"/>
      <c r="ACV148" s="121"/>
      <c r="ACW148" s="121"/>
      <c r="ACX148" s="121"/>
      <c r="ACY148" s="121"/>
      <c r="ACZ148" s="121"/>
      <c r="ADA148" s="121"/>
      <c r="ADB148" s="121"/>
      <c r="ADC148" s="121"/>
      <c r="ADD148" s="121"/>
      <c r="ADE148" s="121"/>
      <c r="ADF148" s="121"/>
      <c r="ADG148" s="121"/>
      <c r="ADH148" s="121"/>
      <c r="ADI148" s="121"/>
      <c r="ADJ148" s="121"/>
      <c r="ADK148" s="121"/>
      <c r="ADL148" s="121"/>
      <c r="ADM148" s="121"/>
      <c r="ADN148" s="121"/>
      <c r="ADO148" s="121"/>
      <c r="ADP148" s="121"/>
      <c r="ADQ148" s="121"/>
      <c r="ADR148" s="121"/>
      <c r="ADS148" s="121"/>
      <c r="ADT148" s="121"/>
      <c r="ADU148" s="121"/>
      <c r="ADV148" s="121"/>
      <c r="ADW148" s="121"/>
      <c r="ADX148" s="121"/>
      <c r="ADY148" s="121"/>
      <c r="ADZ148" s="121"/>
      <c r="AEA148" s="121"/>
      <c r="AEB148" s="121"/>
      <c r="AEC148" s="121"/>
      <c r="AED148" s="121"/>
      <c r="AEE148" s="121"/>
      <c r="AEF148" s="121"/>
      <c r="AEG148" s="121"/>
      <c r="AEH148" s="121"/>
      <c r="AEI148" s="121"/>
      <c r="AEJ148" s="121"/>
      <c r="AEK148" s="121"/>
      <c r="AEL148" s="121"/>
      <c r="AEM148" s="121"/>
      <c r="AEN148" s="121"/>
      <c r="AEO148" s="121"/>
      <c r="AEP148" s="121"/>
      <c r="AEQ148" s="121"/>
      <c r="AER148" s="121"/>
      <c r="AES148" s="121"/>
      <c r="AET148" s="121"/>
      <c r="AEU148" s="121"/>
      <c r="AEV148" s="121"/>
      <c r="AEW148" s="121"/>
      <c r="AEX148" s="121"/>
      <c r="AEY148" s="121"/>
      <c r="AEZ148" s="121"/>
      <c r="AFA148" s="121"/>
      <c r="AFB148" s="121"/>
      <c r="AFC148" s="121"/>
      <c r="AFD148" s="121"/>
      <c r="AFE148" s="121"/>
      <c r="AFF148" s="121"/>
      <c r="AFG148" s="121"/>
      <c r="AFH148" s="121"/>
      <c r="AFI148" s="121"/>
      <c r="AFJ148" s="121"/>
      <c r="AFK148" s="121"/>
      <c r="AFL148" s="121"/>
      <c r="AFM148" s="121"/>
      <c r="AFN148" s="121"/>
      <c r="AFO148" s="121"/>
      <c r="AFP148" s="121"/>
      <c r="AFQ148" s="121"/>
      <c r="AFR148" s="121"/>
      <c r="AFS148" s="121"/>
      <c r="AFT148" s="121"/>
      <c r="AFU148" s="121"/>
      <c r="AFV148" s="121"/>
      <c r="AFW148" s="121"/>
      <c r="AFX148" s="121"/>
      <c r="AFY148" s="121"/>
      <c r="AFZ148" s="121"/>
      <c r="AGA148" s="121"/>
      <c r="AGB148" s="121"/>
      <c r="AGC148" s="121"/>
      <c r="AGD148" s="121"/>
      <c r="AGE148" s="121"/>
    </row>
    <row r="149" spans="1:863" s="189" customFormat="1" ht="15.75" customHeight="1" x14ac:dyDescent="0.25">
      <c r="A149" s="390">
        <v>43374</v>
      </c>
      <c r="B149" s="357" t="s">
        <v>118</v>
      </c>
      <c r="C149" s="187" t="s">
        <v>31</v>
      </c>
      <c r="D149" s="187" t="s">
        <v>30</v>
      </c>
      <c r="E149" s="187" t="s">
        <v>81</v>
      </c>
      <c r="F149" s="187">
        <v>88</v>
      </c>
      <c r="G149" s="187">
        <v>108</v>
      </c>
      <c r="H149" s="492"/>
      <c r="I149" s="187">
        <v>1056</v>
      </c>
      <c r="J149" s="188"/>
      <c r="K149" s="310" t="s">
        <v>397</v>
      </c>
      <c r="L149" s="311" t="s">
        <v>395</v>
      </c>
      <c r="M149" s="24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1"/>
      <c r="BK149" s="121"/>
      <c r="BL149" s="121"/>
      <c r="BM149" s="121"/>
      <c r="BN149" s="121"/>
      <c r="BO149" s="121"/>
      <c r="BP149" s="121"/>
      <c r="BQ149" s="121"/>
      <c r="BR149" s="121"/>
      <c r="BS149" s="121"/>
      <c r="BT149" s="121"/>
      <c r="BU149" s="121"/>
      <c r="BV149" s="121"/>
      <c r="BW149" s="121"/>
      <c r="BX149" s="121"/>
      <c r="BY149" s="121"/>
      <c r="BZ149" s="121"/>
      <c r="CA149" s="121"/>
      <c r="CB149" s="121"/>
      <c r="CC149" s="121"/>
      <c r="CD149" s="121"/>
      <c r="CE149" s="121"/>
      <c r="CF149" s="121"/>
      <c r="CG149" s="121"/>
      <c r="CH149" s="121"/>
      <c r="CI149" s="121"/>
      <c r="CJ149" s="121"/>
      <c r="CK149" s="121"/>
      <c r="CL149" s="121"/>
      <c r="CM149" s="121"/>
      <c r="CN149" s="121"/>
      <c r="CO149" s="121"/>
      <c r="CP149" s="121"/>
      <c r="CQ149" s="121"/>
      <c r="CR149" s="121"/>
      <c r="CS149" s="121"/>
      <c r="CT149" s="121"/>
      <c r="CU149" s="121"/>
      <c r="CV149" s="121"/>
      <c r="CW149" s="121"/>
      <c r="CX149" s="121"/>
      <c r="CY149" s="121"/>
      <c r="CZ149" s="121"/>
      <c r="DA149" s="121"/>
      <c r="DB149" s="121"/>
      <c r="DC149" s="121"/>
      <c r="DD149" s="121"/>
      <c r="DE149" s="121"/>
      <c r="DF149" s="121"/>
      <c r="DG149" s="121"/>
      <c r="DH149" s="121"/>
      <c r="DI149" s="121"/>
      <c r="DJ149" s="121"/>
      <c r="DK149" s="121"/>
      <c r="DL149" s="121"/>
      <c r="DM149" s="121"/>
      <c r="DN149" s="121"/>
      <c r="DO149" s="121"/>
      <c r="DP149" s="121"/>
      <c r="DQ149" s="121"/>
      <c r="DR149" s="121"/>
      <c r="DS149" s="121"/>
      <c r="DT149" s="121"/>
      <c r="DU149" s="121"/>
      <c r="DV149" s="121"/>
      <c r="DW149" s="121"/>
      <c r="DX149" s="121"/>
      <c r="DY149" s="121"/>
      <c r="DZ149" s="121"/>
      <c r="EA149" s="121"/>
      <c r="EB149" s="121"/>
      <c r="EC149" s="121"/>
      <c r="ED149" s="121"/>
      <c r="EE149" s="121"/>
      <c r="EF149" s="121"/>
      <c r="EG149" s="121"/>
      <c r="EH149" s="121"/>
      <c r="EI149" s="121"/>
      <c r="EJ149" s="121"/>
      <c r="EK149" s="121"/>
      <c r="EL149" s="121"/>
      <c r="EM149" s="121"/>
      <c r="EN149" s="121"/>
      <c r="EO149" s="121"/>
      <c r="EP149" s="121"/>
      <c r="EQ149" s="121"/>
      <c r="ER149" s="121"/>
      <c r="ES149" s="121"/>
      <c r="ET149" s="121"/>
      <c r="EU149" s="121"/>
      <c r="EV149" s="121"/>
      <c r="EW149" s="121"/>
      <c r="EX149" s="121"/>
      <c r="EY149" s="121"/>
      <c r="EZ149" s="121"/>
      <c r="FA149" s="121"/>
      <c r="FB149" s="121"/>
      <c r="FC149" s="121"/>
      <c r="FD149" s="121"/>
      <c r="FE149" s="121"/>
      <c r="FF149" s="121"/>
      <c r="FG149" s="121"/>
      <c r="FH149" s="121"/>
      <c r="FI149" s="121"/>
      <c r="FJ149" s="121"/>
      <c r="FK149" s="121"/>
      <c r="FL149" s="121"/>
      <c r="FM149" s="121"/>
      <c r="FN149" s="121"/>
      <c r="FO149" s="121"/>
      <c r="FP149" s="121"/>
      <c r="FQ149" s="121"/>
      <c r="FR149" s="121"/>
      <c r="FS149" s="121"/>
      <c r="FT149" s="121"/>
      <c r="FU149" s="121"/>
      <c r="FV149" s="121"/>
      <c r="FW149" s="121"/>
      <c r="FX149" s="121"/>
      <c r="FY149" s="121"/>
      <c r="FZ149" s="121"/>
      <c r="GA149" s="121"/>
      <c r="GB149" s="121"/>
      <c r="GC149" s="121"/>
      <c r="GD149" s="121"/>
      <c r="GE149" s="121"/>
      <c r="GF149" s="121"/>
      <c r="GG149" s="121"/>
      <c r="GH149" s="121"/>
      <c r="GI149" s="121"/>
      <c r="GJ149" s="121"/>
      <c r="GK149" s="121"/>
      <c r="GL149" s="121"/>
      <c r="GM149" s="121"/>
      <c r="GN149" s="121"/>
      <c r="GO149" s="121"/>
      <c r="GP149" s="121"/>
      <c r="GQ149" s="121"/>
      <c r="GR149" s="121"/>
      <c r="GS149" s="121"/>
      <c r="GT149" s="121"/>
      <c r="GU149" s="121"/>
      <c r="GV149" s="121"/>
      <c r="GW149" s="121"/>
      <c r="GX149" s="121"/>
      <c r="GY149" s="121"/>
      <c r="GZ149" s="121"/>
      <c r="HA149" s="121"/>
      <c r="HB149" s="121"/>
      <c r="HC149" s="121"/>
      <c r="HD149" s="121"/>
      <c r="HE149" s="121"/>
      <c r="HF149" s="121"/>
      <c r="HG149" s="121"/>
      <c r="HH149" s="121"/>
      <c r="HI149" s="121"/>
      <c r="HJ149" s="121"/>
      <c r="HK149" s="121"/>
      <c r="HL149" s="121"/>
      <c r="HM149" s="121"/>
      <c r="HN149" s="121"/>
      <c r="HO149" s="121"/>
      <c r="HP149" s="121"/>
      <c r="HQ149" s="121"/>
      <c r="HR149" s="121"/>
      <c r="HS149" s="121"/>
      <c r="HT149" s="121"/>
      <c r="HU149" s="121"/>
      <c r="HV149" s="121"/>
      <c r="HW149" s="121"/>
      <c r="HX149" s="121"/>
      <c r="HY149" s="121"/>
      <c r="HZ149" s="121"/>
      <c r="IA149" s="121"/>
      <c r="IB149" s="121"/>
      <c r="IC149" s="121"/>
      <c r="ID149" s="121"/>
      <c r="IE149" s="121"/>
      <c r="IF149" s="121"/>
      <c r="IG149" s="121"/>
      <c r="IH149" s="121"/>
      <c r="II149" s="121"/>
      <c r="IJ149" s="121"/>
      <c r="IK149" s="121"/>
      <c r="IL149" s="121"/>
      <c r="IM149" s="121"/>
      <c r="IN149" s="121"/>
      <c r="IO149" s="121"/>
      <c r="IP149" s="121"/>
      <c r="IQ149" s="121"/>
      <c r="IR149" s="121"/>
      <c r="IS149" s="121"/>
      <c r="IT149" s="121"/>
      <c r="IU149" s="121"/>
      <c r="IV149" s="121"/>
      <c r="IW149" s="121"/>
      <c r="IX149" s="121"/>
      <c r="IY149" s="121"/>
      <c r="IZ149" s="121"/>
      <c r="JA149" s="121"/>
      <c r="JB149" s="121"/>
      <c r="JC149" s="121"/>
      <c r="JD149" s="121"/>
      <c r="JE149" s="121"/>
      <c r="JF149" s="121"/>
      <c r="JG149" s="121"/>
      <c r="JH149" s="121"/>
      <c r="JI149" s="121"/>
      <c r="JJ149" s="121"/>
      <c r="JK149" s="121"/>
      <c r="JL149" s="121"/>
      <c r="JM149" s="121"/>
      <c r="JN149" s="121"/>
      <c r="JO149" s="121"/>
      <c r="JP149" s="121"/>
      <c r="JQ149" s="121"/>
      <c r="JR149" s="121"/>
      <c r="JS149" s="121"/>
      <c r="JT149" s="121"/>
      <c r="JU149" s="121"/>
      <c r="JV149" s="121"/>
      <c r="JW149" s="121"/>
      <c r="JX149" s="121"/>
      <c r="JY149" s="121"/>
      <c r="JZ149" s="121"/>
      <c r="KA149" s="121"/>
      <c r="KB149" s="121"/>
      <c r="KC149" s="121"/>
      <c r="KD149" s="121"/>
      <c r="KE149" s="121"/>
      <c r="KF149" s="121"/>
      <c r="KG149" s="121"/>
      <c r="KH149" s="121"/>
      <c r="KI149" s="121"/>
      <c r="KJ149" s="121"/>
      <c r="KK149" s="121"/>
      <c r="KL149" s="121"/>
      <c r="KM149" s="121"/>
      <c r="KN149" s="121"/>
      <c r="KO149" s="121"/>
      <c r="KP149" s="121"/>
      <c r="KQ149" s="121"/>
      <c r="KR149" s="121"/>
      <c r="KS149" s="121"/>
      <c r="KT149" s="121"/>
      <c r="KU149" s="121"/>
      <c r="KV149" s="121"/>
      <c r="KW149" s="121"/>
      <c r="KX149" s="121"/>
      <c r="KY149" s="121"/>
      <c r="KZ149" s="121"/>
      <c r="LA149" s="121"/>
      <c r="LB149" s="121"/>
      <c r="LC149" s="121"/>
      <c r="LD149" s="121"/>
      <c r="LE149" s="121"/>
      <c r="LF149" s="121"/>
      <c r="LG149" s="121"/>
      <c r="LH149" s="121"/>
      <c r="LI149" s="121"/>
      <c r="LJ149" s="121"/>
      <c r="LK149" s="121"/>
      <c r="LL149" s="121"/>
      <c r="LM149" s="121"/>
      <c r="LN149" s="121"/>
      <c r="LO149" s="121"/>
      <c r="LP149" s="121"/>
      <c r="LQ149" s="121"/>
      <c r="LR149" s="121"/>
      <c r="LS149" s="121"/>
      <c r="LT149" s="121"/>
      <c r="LU149" s="121"/>
      <c r="LV149" s="121"/>
      <c r="LW149" s="121"/>
      <c r="LX149" s="121"/>
      <c r="LY149" s="121"/>
      <c r="LZ149" s="121"/>
      <c r="MA149" s="121"/>
      <c r="MB149" s="121"/>
      <c r="MC149" s="121"/>
      <c r="MD149" s="121"/>
      <c r="ME149" s="121"/>
      <c r="MF149" s="121"/>
      <c r="MG149" s="121"/>
      <c r="MH149" s="121"/>
      <c r="MI149" s="121"/>
      <c r="MJ149" s="121"/>
      <c r="MK149" s="121"/>
      <c r="ML149" s="121"/>
      <c r="MM149" s="121"/>
      <c r="MN149" s="121"/>
      <c r="MO149" s="121"/>
      <c r="MP149" s="121"/>
      <c r="MQ149" s="121"/>
      <c r="MR149" s="121"/>
      <c r="MS149" s="121"/>
      <c r="MT149" s="121"/>
      <c r="MU149" s="121"/>
      <c r="MV149" s="121"/>
      <c r="MW149" s="121"/>
      <c r="MX149" s="121"/>
      <c r="MY149" s="121"/>
      <c r="MZ149" s="121"/>
      <c r="NA149" s="121"/>
      <c r="NB149" s="121"/>
      <c r="NC149" s="121"/>
      <c r="ND149" s="121"/>
      <c r="NE149" s="121"/>
      <c r="NF149" s="121"/>
      <c r="NG149" s="121"/>
      <c r="NH149" s="121"/>
      <c r="NI149" s="121"/>
      <c r="NJ149" s="121"/>
      <c r="NK149" s="121"/>
      <c r="NL149" s="121"/>
      <c r="NM149" s="121"/>
      <c r="NN149" s="121"/>
      <c r="NO149" s="121"/>
      <c r="NP149" s="121"/>
      <c r="NQ149" s="121"/>
      <c r="NR149" s="121"/>
      <c r="NS149" s="121"/>
      <c r="NT149" s="121"/>
      <c r="NU149" s="121"/>
      <c r="NV149" s="121"/>
      <c r="NW149" s="121"/>
      <c r="NX149" s="121"/>
      <c r="NY149" s="121"/>
      <c r="NZ149" s="121"/>
      <c r="OA149" s="121"/>
      <c r="OB149" s="121"/>
      <c r="OC149" s="121"/>
      <c r="OD149" s="121"/>
      <c r="OE149" s="121"/>
      <c r="OF149" s="121"/>
      <c r="OG149" s="121"/>
      <c r="OH149" s="121"/>
      <c r="OI149" s="121"/>
      <c r="OJ149" s="121"/>
      <c r="OK149" s="121"/>
      <c r="OL149" s="121"/>
      <c r="OM149" s="121"/>
      <c r="ON149" s="121"/>
      <c r="OO149" s="121"/>
      <c r="OP149" s="121"/>
      <c r="OQ149" s="121"/>
      <c r="OR149" s="121"/>
      <c r="OS149" s="121"/>
      <c r="OT149" s="121"/>
      <c r="OU149" s="121"/>
      <c r="OV149" s="121"/>
      <c r="OW149" s="121"/>
      <c r="OX149" s="121"/>
      <c r="OY149" s="121"/>
      <c r="OZ149" s="121"/>
      <c r="PA149" s="121"/>
      <c r="PB149" s="121"/>
      <c r="PC149" s="121"/>
      <c r="PD149" s="121"/>
      <c r="PE149" s="121"/>
      <c r="PF149" s="121"/>
      <c r="PG149" s="121"/>
      <c r="PH149" s="121"/>
      <c r="PI149" s="121"/>
      <c r="PJ149" s="121"/>
      <c r="PK149" s="121"/>
      <c r="PL149" s="121"/>
      <c r="PM149" s="121"/>
      <c r="PN149" s="121"/>
      <c r="PO149" s="121"/>
      <c r="PP149" s="121"/>
      <c r="PQ149" s="121"/>
      <c r="PR149" s="121"/>
      <c r="PS149" s="121"/>
      <c r="PT149" s="121"/>
      <c r="PU149" s="121"/>
      <c r="PV149" s="121"/>
      <c r="PW149" s="121"/>
      <c r="PX149" s="121"/>
      <c r="PY149" s="121"/>
      <c r="PZ149" s="121"/>
      <c r="QA149" s="121"/>
      <c r="QB149" s="121"/>
      <c r="QC149" s="121"/>
      <c r="QD149" s="121"/>
      <c r="QE149" s="121"/>
      <c r="QF149" s="121"/>
      <c r="QG149" s="121"/>
      <c r="QH149" s="121"/>
      <c r="QI149" s="121"/>
      <c r="QJ149" s="121"/>
      <c r="QK149" s="121"/>
      <c r="QL149" s="121"/>
      <c r="QM149" s="121"/>
      <c r="QN149" s="121"/>
      <c r="QO149" s="121"/>
      <c r="QP149" s="121"/>
      <c r="QQ149" s="121"/>
      <c r="QR149" s="121"/>
      <c r="QS149" s="121"/>
      <c r="QT149" s="121"/>
      <c r="QU149" s="121"/>
      <c r="QV149" s="121"/>
      <c r="QW149" s="121"/>
      <c r="QX149" s="121"/>
      <c r="QY149" s="121"/>
      <c r="QZ149" s="121"/>
      <c r="RA149" s="121"/>
      <c r="RB149" s="121"/>
      <c r="RC149" s="121"/>
      <c r="RD149" s="121"/>
      <c r="RE149" s="121"/>
      <c r="RF149" s="121"/>
      <c r="RG149" s="121"/>
      <c r="RH149" s="121"/>
      <c r="RI149" s="121"/>
      <c r="RJ149" s="121"/>
      <c r="RK149" s="121"/>
      <c r="RL149" s="121"/>
      <c r="RM149" s="121"/>
      <c r="RN149" s="121"/>
      <c r="RO149" s="121"/>
      <c r="RP149" s="121"/>
      <c r="RQ149" s="121"/>
      <c r="RR149" s="121"/>
      <c r="RS149" s="121"/>
      <c r="RT149" s="121"/>
      <c r="RU149" s="121"/>
      <c r="RV149" s="121"/>
      <c r="RW149" s="121"/>
      <c r="RX149" s="121"/>
      <c r="RY149" s="121"/>
      <c r="RZ149" s="121"/>
      <c r="SA149" s="121"/>
      <c r="SB149" s="121"/>
      <c r="SC149" s="121"/>
      <c r="SD149" s="121"/>
      <c r="SE149" s="121"/>
      <c r="SF149" s="121"/>
      <c r="SG149" s="121"/>
      <c r="SH149" s="121"/>
      <c r="SI149" s="121"/>
      <c r="SJ149" s="121"/>
      <c r="SK149" s="121"/>
      <c r="SL149" s="121"/>
      <c r="SM149" s="121"/>
      <c r="SN149" s="121"/>
      <c r="SO149" s="121"/>
      <c r="SP149" s="121"/>
      <c r="SQ149" s="121"/>
      <c r="SR149" s="121"/>
      <c r="SS149" s="121"/>
      <c r="ST149" s="121"/>
      <c r="SU149" s="121"/>
      <c r="SV149" s="121"/>
      <c r="SW149" s="121"/>
      <c r="SX149" s="121"/>
      <c r="SY149" s="121"/>
      <c r="SZ149" s="121"/>
      <c r="TA149" s="121"/>
      <c r="TB149" s="121"/>
      <c r="TC149" s="121"/>
      <c r="TD149" s="121"/>
      <c r="TE149" s="121"/>
      <c r="TF149" s="121"/>
      <c r="TG149" s="121"/>
      <c r="TH149" s="121"/>
      <c r="TI149" s="121"/>
      <c r="TJ149" s="121"/>
      <c r="TK149" s="121"/>
      <c r="TL149" s="121"/>
      <c r="TM149" s="121"/>
      <c r="TN149" s="121"/>
      <c r="TO149" s="121"/>
      <c r="TP149" s="121"/>
      <c r="TQ149" s="121"/>
      <c r="TR149" s="121"/>
      <c r="TS149" s="121"/>
      <c r="TT149" s="121"/>
      <c r="TU149" s="121"/>
      <c r="TV149" s="121"/>
      <c r="TW149" s="121"/>
      <c r="TX149" s="121"/>
      <c r="TY149" s="121"/>
      <c r="TZ149" s="121"/>
      <c r="UA149" s="121"/>
      <c r="UB149" s="121"/>
      <c r="UC149" s="121"/>
      <c r="UD149" s="121"/>
      <c r="UE149" s="121"/>
      <c r="UF149" s="121"/>
      <c r="UG149" s="121"/>
      <c r="UH149" s="121"/>
      <c r="UI149" s="121"/>
      <c r="UJ149" s="121"/>
      <c r="UK149" s="121"/>
      <c r="UL149" s="121"/>
      <c r="UM149" s="121"/>
      <c r="UN149" s="121"/>
      <c r="UO149" s="121"/>
      <c r="UP149" s="121"/>
      <c r="UQ149" s="121"/>
      <c r="UR149" s="121"/>
      <c r="US149" s="121"/>
      <c r="UT149" s="121"/>
      <c r="UU149" s="121"/>
      <c r="UV149" s="121"/>
      <c r="UW149" s="121"/>
      <c r="UX149" s="121"/>
      <c r="UY149" s="121"/>
      <c r="UZ149" s="121"/>
      <c r="VA149" s="121"/>
      <c r="VB149" s="121"/>
      <c r="VC149" s="121"/>
      <c r="VD149" s="121"/>
      <c r="VE149" s="121"/>
      <c r="VF149" s="121"/>
      <c r="VG149" s="121"/>
      <c r="VH149" s="121"/>
      <c r="VI149" s="121"/>
      <c r="VJ149" s="121"/>
      <c r="VK149" s="121"/>
      <c r="VL149" s="121"/>
      <c r="VM149" s="121"/>
      <c r="VN149" s="121"/>
      <c r="VO149" s="121"/>
      <c r="VP149" s="121"/>
      <c r="VQ149" s="121"/>
      <c r="VR149" s="121"/>
      <c r="VS149" s="121"/>
      <c r="VT149" s="121"/>
      <c r="VU149" s="121"/>
      <c r="VV149" s="121"/>
      <c r="VW149" s="121"/>
      <c r="VX149" s="121"/>
      <c r="VY149" s="121"/>
      <c r="VZ149" s="121"/>
      <c r="WA149" s="121"/>
      <c r="WB149" s="121"/>
      <c r="WC149" s="121"/>
      <c r="WD149" s="121"/>
      <c r="WE149" s="121"/>
      <c r="WF149" s="121"/>
      <c r="WG149" s="121"/>
      <c r="WH149" s="121"/>
      <c r="WI149" s="121"/>
      <c r="WJ149" s="121"/>
      <c r="WK149" s="121"/>
      <c r="WL149" s="121"/>
      <c r="WM149" s="121"/>
      <c r="WN149" s="121"/>
      <c r="WO149" s="121"/>
      <c r="WP149" s="121"/>
      <c r="WQ149" s="121"/>
      <c r="WR149" s="121"/>
      <c r="WS149" s="121"/>
      <c r="WT149" s="121"/>
      <c r="WU149" s="121"/>
      <c r="WV149" s="121"/>
      <c r="WW149" s="121"/>
      <c r="WX149" s="121"/>
      <c r="WY149" s="121"/>
      <c r="WZ149" s="121"/>
      <c r="XA149" s="121"/>
      <c r="XB149" s="121"/>
      <c r="XC149" s="121"/>
      <c r="XD149" s="121"/>
      <c r="XE149" s="121"/>
      <c r="XF149" s="121"/>
      <c r="XG149" s="121"/>
      <c r="XH149" s="121"/>
      <c r="XI149" s="121"/>
      <c r="XJ149" s="121"/>
      <c r="XK149" s="121"/>
      <c r="XL149" s="121"/>
      <c r="XM149" s="121"/>
      <c r="XN149" s="121"/>
      <c r="XO149" s="121"/>
      <c r="XP149" s="121"/>
      <c r="XQ149" s="121"/>
      <c r="XR149" s="121"/>
      <c r="XS149" s="121"/>
      <c r="XT149" s="121"/>
      <c r="XU149" s="121"/>
      <c r="XV149" s="121"/>
      <c r="XW149" s="121"/>
      <c r="XX149" s="121"/>
      <c r="XY149" s="121"/>
      <c r="XZ149" s="121"/>
      <c r="YA149" s="121"/>
      <c r="YB149" s="121"/>
      <c r="YC149" s="121"/>
      <c r="YD149" s="121"/>
      <c r="YE149" s="121"/>
      <c r="YF149" s="121"/>
      <c r="YG149" s="121"/>
      <c r="YH149" s="121"/>
      <c r="YI149" s="121"/>
      <c r="YJ149" s="121"/>
      <c r="YK149" s="121"/>
      <c r="YL149" s="121"/>
      <c r="YM149" s="121"/>
      <c r="YN149" s="121"/>
      <c r="YO149" s="121"/>
      <c r="YP149" s="121"/>
      <c r="YQ149" s="121"/>
      <c r="YR149" s="121"/>
      <c r="YS149" s="121"/>
      <c r="YT149" s="121"/>
      <c r="YU149" s="121"/>
      <c r="YV149" s="121"/>
      <c r="YW149" s="121"/>
      <c r="YX149" s="121"/>
      <c r="YY149" s="121"/>
      <c r="YZ149" s="121"/>
      <c r="ZA149" s="121"/>
      <c r="ZB149" s="121"/>
      <c r="ZC149" s="121"/>
      <c r="ZD149" s="121"/>
      <c r="ZE149" s="121"/>
      <c r="ZF149" s="121"/>
      <c r="ZG149" s="121"/>
      <c r="ZH149" s="121"/>
      <c r="ZI149" s="121"/>
      <c r="ZJ149" s="121"/>
      <c r="ZK149" s="121"/>
      <c r="ZL149" s="121"/>
      <c r="ZM149" s="121"/>
      <c r="ZN149" s="121"/>
      <c r="ZO149" s="121"/>
      <c r="ZP149" s="121"/>
      <c r="ZQ149" s="121"/>
      <c r="ZR149" s="121"/>
      <c r="ZS149" s="121"/>
      <c r="ZT149" s="121"/>
      <c r="ZU149" s="121"/>
      <c r="ZV149" s="121"/>
      <c r="ZW149" s="121"/>
      <c r="ZX149" s="121"/>
      <c r="ZY149" s="121"/>
      <c r="ZZ149" s="121"/>
      <c r="AAA149" s="121"/>
      <c r="AAB149" s="121"/>
      <c r="AAC149" s="121"/>
      <c r="AAD149" s="121"/>
      <c r="AAE149" s="121"/>
      <c r="AAF149" s="121"/>
      <c r="AAG149" s="121"/>
      <c r="AAH149" s="121"/>
      <c r="AAI149" s="121"/>
      <c r="AAJ149" s="121"/>
      <c r="AAK149" s="121"/>
      <c r="AAL149" s="121"/>
      <c r="AAM149" s="121"/>
      <c r="AAN149" s="121"/>
      <c r="AAO149" s="121"/>
      <c r="AAP149" s="121"/>
      <c r="AAQ149" s="121"/>
      <c r="AAR149" s="121"/>
      <c r="AAS149" s="121"/>
      <c r="AAT149" s="121"/>
      <c r="AAU149" s="121"/>
      <c r="AAV149" s="121"/>
      <c r="AAW149" s="121"/>
      <c r="AAX149" s="121"/>
      <c r="AAY149" s="121"/>
      <c r="AAZ149" s="121"/>
      <c r="ABA149" s="121"/>
      <c r="ABB149" s="121"/>
      <c r="ABC149" s="121"/>
      <c r="ABD149" s="121"/>
      <c r="ABE149" s="121"/>
      <c r="ABF149" s="121"/>
      <c r="ABG149" s="121"/>
      <c r="ABH149" s="121"/>
      <c r="ABI149" s="121"/>
      <c r="ABJ149" s="121"/>
      <c r="ABK149" s="121"/>
      <c r="ABL149" s="121"/>
      <c r="ABM149" s="121"/>
      <c r="ABN149" s="121"/>
      <c r="ABO149" s="121"/>
      <c r="ABP149" s="121"/>
      <c r="ABQ149" s="121"/>
      <c r="ABR149" s="121"/>
      <c r="ABS149" s="121"/>
      <c r="ABT149" s="121"/>
      <c r="ABU149" s="121"/>
      <c r="ABV149" s="121"/>
      <c r="ABW149" s="121"/>
      <c r="ABX149" s="121"/>
      <c r="ABY149" s="121"/>
      <c r="ABZ149" s="121"/>
      <c r="ACA149" s="121"/>
      <c r="ACB149" s="121"/>
      <c r="ACC149" s="121"/>
      <c r="ACD149" s="121"/>
      <c r="ACE149" s="121"/>
      <c r="ACF149" s="121"/>
      <c r="ACG149" s="121"/>
      <c r="ACH149" s="121"/>
      <c r="ACI149" s="121"/>
      <c r="ACJ149" s="121"/>
      <c r="ACK149" s="121"/>
      <c r="ACL149" s="121"/>
      <c r="ACM149" s="121"/>
      <c r="ACN149" s="121"/>
      <c r="ACO149" s="121"/>
      <c r="ACP149" s="121"/>
      <c r="ACQ149" s="121"/>
      <c r="ACR149" s="121"/>
      <c r="ACS149" s="121"/>
      <c r="ACT149" s="121"/>
      <c r="ACU149" s="121"/>
      <c r="ACV149" s="121"/>
      <c r="ACW149" s="121"/>
      <c r="ACX149" s="121"/>
      <c r="ACY149" s="121"/>
      <c r="ACZ149" s="121"/>
      <c r="ADA149" s="121"/>
      <c r="ADB149" s="121"/>
      <c r="ADC149" s="121"/>
      <c r="ADD149" s="121"/>
      <c r="ADE149" s="121"/>
      <c r="ADF149" s="121"/>
      <c r="ADG149" s="121"/>
      <c r="ADH149" s="121"/>
      <c r="ADI149" s="121"/>
      <c r="ADJ149" s="121"/>
      <c r="ADK149" s="121"/>
      <c r="ADL149" s="121"/>
      <c r="ADM149" s="121"/>
      <c r="ADN149" s="121"/>
      <c r="ADO149" s="121"/>
      <c r="ADP149" s="121"/>
      <c r="ADQ149" s="121"/>
      <c r="ADR149" s="121"/>
      <c r="ADS149" s="121"/>
      <c r="ADT149" s="121"/>
      <c r="ADU149" s="121"/>
      <c r="ADV149" s="121"/>
      <c r="ADW149" s="121"/>
      <c r="ADX149" s="121"/>
      <c r="ADY149" s="121"/>
      <c r="ADZ149" s="121"/>
      <c r="AEA149" s="121"/>
      <c r="AEB149" s="121"/>
      <c r="AEC149" s="121"/>
      <c r="AED149" s="121"/>
      <c r="AEE149" s="121"/>
      <c r="AEF149" s="121"/>
      <c r="AEG149" s="121"/>
      <c r="AEH149" s="121"/>
      <c r="AEI149" s="121"/>
      <c r="AEJ149" s="121"/>
      <c r="AEK149" s="121"/>
      <c r="AEL149" s="121"/>
      <c r="AEM149" s="121"/>
      <c r="AEN149" s="121"/>
      <c r="AEO149" s="121"/>
      <c r="AEP149" s="121"/>
      <c r="AEQ149" s="121"/>
      <c r="AER149" s="121"/>
      <c r="AES149" s="121"/>
      <c r="AET149" s="121"/>
      <c r="AEU149" s="121"/>
      <c r="AEV149" s="121"/>
      <c r="AEW149" s="121"/>
      <c r="AEX149" s="121"/>
      <c r="AEY149" s="121"/>
      <c r="AEZ149" s="121"/>
      <c r="AFA149" s="121"/>
      <c r="AFB149" s="121"/>
      <c r="AFC149" s="121"/>
      <c r="AFD149" s="121"/>
      <c r="AFE149" s="121"/>
      <c r="AFF149" s="121"/>
      <c r="AFG149" s="121"/>
      <c r="AFH149" s="121"/>
      <c r="AFI149" s="121"/>
      <c r="AFJ149" s="121"/>
      <c r="AFK149" s="121"/>
      <c r="AFL149" s="121"/>
      <c r="AFM149" s="121"/>
      <c r="AFN149" s="121"/>
      <c r="AFO149" s="121"/>
      <c r="AFP149" s="121"/>
      <c r="AFQ149" s="121"/>
      <c r="AFR149" s="121"/>
      <c r="AFS149" s="121"/>
      <c r="AFT149" s="121"/>
      <c r="AFU149" s="121"/>
      <c r="AFV149" s="121"/>
      <c r="AFW149" s="121"/>
      <c r="AFX149" s="121"/>
      <c r="AFY149" s="121"/>
      <c r="AFZ149" s="121"/>
      <c r="AGA149" s="121"/>
      <c r="AGB149" s="121"/>
      <c r="AGC149" s="121"/>
      <c r="AGD149" s="121"/>
      <c r="AGE149" s="121"/>
    </row>
    <row r="150" spans="1:863" s="189" customFormat="1" ht="15.75" customHeight="1" x14ac:dyDescent="0.25">
      <c r="A150" s="390">
        <v>43374</v>
      </c>
      <c r="B150" s="357" t="s">
        <v>119</v>
      </c>
      <c r="C150" s="187" t="s">
        <v>31</v>
      </c>
      <c r="D150" s="187" t="s">
        <v>30</v>
      </c>
      <c r="E150" s="187" t="s">
        <v>81</v>
      </c>
      <c r="F150" s="187">
        <v>87</v>
      </c>
      <c r="G150" s="187">
        <v>144</v>
      </c>
      <c r="H150" s="491">
        <f>SUM(I150:I151)</f>
        <v>2750</v>
      </c>
      <c r="I150" s="187">
        <v>1375</v>
      </c>
      <c r="J150" s="188"/>
      <c r="K150" s="310" t="s">
        <v>397</v>
      </c>
      <c r="L150" s="311" t="s">
        <v>395</v>
      </c>
      <c r="M150" s="24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1"/>
      <c r="BK150" s="121"/>
      <c r="BL150" s="121"/>
      <c r="BM150" s="121"/>
      <c r="BN150" s="121"/>
      <c r="BO150" s="121"/>
      <c r="BP150" s="121"/>
      <c r="BQ150" s="121"/>
      <c r="BR150" s="121"/>
      <c r="BS150" s="121"/>
      <c r="BT150" s="121"/>
      <c r="BU150" s="121"/>
      <c r="BV150" s="121"/>
      <c r="BW150" s="121"/>
      <c r="BX150" s="121"/>
      <c r="BY150" s="121"/>
      <c r="BZ150" s="121"/>
      <c r="CA150" s="121"/>
      <c r="CB150" s="121"/>
      <c r="CC150" s="121"/>
      <c r="CD150" s="121"/>
      <c r="CE150" s="121"/>
      <c r="CF150" s="121"/>
      <c r="CG150" s="121"/>
      <c r="CH150" s="121"/>
      <c r="CI150" s="121"/>
      <c r="CJ150" s="121"/>
      <c r="CK150" s="121"/>
      <c r="CL150" s="121"/>
      <c r="CM150" s="121"/>
      <c r="CN150" s="121"/>
      <c r="CO150" s="121"/>
      <c r="CP150" s="121"/>
      <c r="CQ150" s="121"/>
      <c r="CR150" s="121"/>
      <c r="CS150" s="121"/>
      <c r="CT150" s="121"/>
      <c r="CU150" s="121"/>
      <c r="CV150" s="121"/>
      <c r="CW150" s="121"/>
      <c r="CX150" s="121"/>
      <c r="CY150" s="121"/>
      <c r="CZ150" s="121"/>
      <c r="DA150" s="121"/>
      <c r="DB150" s="121"/>
      <c r="DC150" s="121"/>
      <c r="DD150" s="121"/>
      <c r="DE150" s="121"/>
      <c r="DF150" s="121"/>
      <c r="DG150" s="121"/>
      <c r="DH150" s="121"/>
      <c r="DI150" s="121"/>
      <c r="DJ150" s="121"/>
      <c r="DK150" s="121"/>
      <c r="DL150" s="121"/>
      <c r="DM150" s="121"/>
      <c r="DN150" s="121"/>
      <c r="DO150" s="121"/>
      <c r="DP150" s="121"/>
      <c r="DQ150" s="121"/>
      <c r="DR150" s="121"/>
      <c r="DS150" s="121"/>
      <c r="DT150" s="121"/>
      <c r="DU150" s="121"/>
      <c r="DV150" s="121"/>
      <c r="DW150" s="121"/>
      <c r="DX150" s="121"/>
      <c r="DY150" s="121"/>
      <c r="DZ150" s="121"/>
      <c r="EA150" s="121"/>
      <c r="EB150" s="121"/>
      <c r="EC150" s="121"/>
      <c r="ED150" s="121"/>
      <c r="EE150" s="121"/>
      <c r="EF150" s="121"/>
      <c r="EG150" s="121"/>
      <c r="EH150" s="121"/>
      <c r="EI150" s="121"/>
      <c r="EJ150" s="121"/>
      <c r="EK150" s="121"/>
      <c r="EL150" s="121"/>
      <c r="EM150" s="121"/>
      <c r="EN150" s="121"/>
      <c r="EO150" s="121"/>
      <c r="EP150" s="121"/>
      <c r="EQ150" s="121"/>
      <c r="ER150" s="121"/>
      <c r="ES150" s="121"/>
      <c r="ET150" s="121"/>
      <c r="EU150" s="121"/>
      <c r="EV150" s="121"/>
      <c r="EW150" s="121"/>
      <c r="EX150" s="121"/>
      <c r="EY150" s="121"/>
      <c r="EZ150" s="121"/>
      <c r="FA150" s="121"/>
      <c r="FB150" s="121"/>
      <c r="FC150" s="121"/>
      <c r="FD150" s="121"/>
      <c r="FE150" s="121"/>
      <c r="FF150" s="121"/>
      <c r="FG150" s="121"/>
      <c r="FH150" s="121"/>
      <c r="FI150" s="121"/>
      <c r="FJ150" s="121"/>
      <c r="FK150" s="121"/>
      <c r="FL150" s="121"/>
      <c r="FM150" s="121"/>
      <c r="FN150" s="121"/>
      <c r="FO150" s="121"/>
      <c r="FP150" s="121"/>
      <c r="FQ150" s="121"/>
      <c r="FR150" s="121"/>
      <c r="FS150" s="121"/>
      <c r="FT150" s="121"/>
      <c r="FU150" s="121"/>
      <c r="FV150" s="121"/>
      <c r="FW150" s="121"/>
      <c r="FX150" s="121"/>
      <c r="FY150" s="121"/>
      <c r="FZ150" s="121"/>
      <c r="GA150" s="121"/>
      <c r="GB150" s="121"/>
      <c r="GC150" s="121"/>
      <c r="GD150" s="121"/>
      <c r="GE150" s="121"/>
      <c r="GF150" s="121"/>
      <c r="GG150" s="121"/>
      <c r="GH150" s="121"/>
      <c r="GI150" s="121"/>
      <c r="GJ150" s="121"/>
      <c r="GK150" s="121"/>
      <c r="GL150" s="121"/>
      <c r="GM150" s="121"/>
      <c r="GN150" s="121"/>
      <c r="GO150" s="121"/>
      <c r="GP150" s="121"/>
      <c r="GQ150" s="121"/>
      <c r="GR150" s="121"/>
      <c r="GS150" s="121"/>
      <c r="GT150" s="121"/>
      <c r="GU150" s="121"/>
      <c r="GV150" s="121"/>
      <c r="GW150" s="121"/>
      <c r="GX150" s="121"/>
      <c r="GY150" s="121"/>
      <c r="GZ150" s="121"/>
      <c r="HA150" s="121"/>
      <c r="HB150" s="121"/>
      <c r="HC150" s="121"/>
      <c r="HD150" s="121"/>
      <c r="HE150" s="121"/>
      <c r="HF150" s="121"/>
      <c r="HG150" s="121"/>
      <c r="HH150" s="121"/>
      <c r="HI150" s="121"/>
      <c r="HJ150" s="121"/>
      <c r="HK150" s="121"/>
      <c r="HL150" s="121"/>
      <c r="HM150" s="121"/>
      <c r="HN150" s="121"/>
      <c r="HO150" s="121"/>
      <c r="HP150" s="121"/>
      <c r="HQ150" s="121"/>
      <c r="HR150" s="121"/>
      <c r="HS150" s="121"/>
      <c r="HT150" s="121"/>
      <c r="HU150" s="121"/>
      <c r="HV150" s="121"/>
      <c r="HW150" s="121"/>
      <c r="HX150" s="121"/>
      <c r="HY150" s="121"/>
      <c r="HZ150" s="121"/>
      <c r="IA150" s="121"/>
      <c r="IB150" s="121"/>
      <c r="IC150" s="121"/>
      <c r="ID150" s="121"/>
      <c r="IE150" s="121"/>
      <c r="IF150" s="121"/>
      <c r="IG150" s="121"/>
      <c r="IH150" s="121"/>
      <c r="II150" s="121"/>
      <c r="IJ150" s="121"/>
      <c r="IK150" s="121"/>
      <c r="IL150" s="121"/>
      <c r="IM150" s="121"/>
      <c r="IN150" s="121"/>
      <c r="IO150" s="121"/>
      <c r="IP150" s="121"/>
      <c r="IQ150" s="121"/>
      <c r="IR150" s="121"/>
      <c r="IS150" s="121"/>
      <c r="IT150" s="121"/>
      <c r="IU150" s="121"/>
      <c r="IV150" s="121"/>
      <c r="IW150" s="121"/>
      <c r="IX150" s="121"/>
      <c r="IY150" s="121"/>
      <c r="IZ150" s="121"/>
      <c r="JA150" s="121"/>
      <c r="JB150" s="121"/>
      <c r="JC150" s="121"/>
      <c r="JD150" s="121"/>
      <c r="JE150" s="121"/>
      <c r="JF150" s="121"/>
      <c r="JG150" s="121"/>
      <c r="JH150" s="121"/>
      <c r="JI150" s="121"/>
      <c r="JJ150" s="121"/>
      <c r="JK150" s="121"/>
      <c r="JL150" s="121"/>
      <c r="JM150" s="121"/>
      <c r="JN150" s="121"/>
      <c r="JO150" s="121"/>
      <c r="JP150" s="121"/>
      <c r="JQ150" s="121"/>
      <c r="JR150" s="121"/>
      <c r="JS150" s="121"/>
      <c r="JT150" s="121"/>
      <c r="JU150" s="121"/>
      <c r="JV150" s="121"/>
      <c r="JW150" s="121"/>
      <c r="JX150" s="121"/>
      <c r="JY150" s="121"/>
      <c r="JZ150" s="121"/>
      <c r="KA150" s="121"/>
      <c r="KB150" s="121"/>
      <c r="KC150" s="121"/>
      <c r="KD150" s="121"/>
      <c r="KE150" s="121"/>
      <c r="KF150" s="121"/>
      <c r="KG150" s="121"/>
      <c r="KH150" s="121"/>
      <c r="KI150" s="121"/>
      <c r="KJ150" s="121"/>
      <c r="KK150" s="121"/>
      <c r="KL150" s="121"/>
      <c r="KM150" s="121"/>
      <c r="KN150" s="121"/>
      <c r="KO150" s="121"/>
      <c r="KP150" s="121"/>
      <c r="KQ150" s="121"/>
      <c r="KR150" s="121"/>
      <c r="KS150" s="121"/>
      <c r="KT150" s="121"/>
      <c r="KU150" s="121"/>
      <c r="KV150" s="121"/>
      <c r="KW150" s="121"/>
      <c r="KX150" s="121"/>
      <c r="KY150" s="121"/>
      <c r="KZ150" s="121"/>
      <c r="LA150" s="121"/>
      <c r="LB150" s="121"/>
      <c r="LC150" s="121"/>
      <c r="LD150" s="121"/>
      <c r="LE150" s="121"/>
      <c r="LF150" s="121"/>
      <c r="LG150" s="121"/>
      <c r="LH150" s="121"/>
      <c r="LI150" s="121"/>
      <c r="LJ150" s="121"/>
      <c r="LK150" s="121"/>
      <c r="LL150" s="121"/>
      <c r="LM150" s="121"/>
      <c r="LN150" s="121"/>
      <c r="LO150" s="121"/>
      <c r="LP150" s="121"/>
      <c r="LQ150" s="121"/>
      <c r="LR150" s="121"/>
      <c r="LS150" s="121"/>
      <c r="LT150" s="121"/>
      <c r="LU150" s="121"/>
      <c r="LV150" s="121"/>
      <c r="LW150" s="121"/>
      <c r="LX150" s="121"/>
      <c r="LY150" s="121"/>
      <c r="LZ150" s="121"/>
      <c r="MA150" s="121"/>
      <c r="MB150" s="121"/>
      <c r="MC150" s="121"/>
      <c r="MD150" s="121"/>
      <c r="ME150" s="121"/>
      <c r="MF150" s="121"/>
      <c r="MG150" s="121"/>
      <c r="MH150" s="121"/>
      <c r="MI150" s="121"/>
      <c r="MJ150" s="121"/>
      <c r="MK150" s="121"/>
      <c r="ML150" s="121"/>
      <c r="MM150" s="121"/>
      <c r="MN150" s="121"/>
      <c r="MO150" s="121"/>
      <c r="MP150" s="121"/>
      <c r="MQ150" s="121"/>
      <c r="MR150" s="121"/>
      <c r="MS150" s="121"/>
      <c r="MT150" s="121"/>
      <c r="MU150" s="121"/>
      <c r="MV150" s="121"/>
      <c r="MW150" s="121"/>
      <c r="MX150" s="121"/>
      <c r="MY150" s="121"/>
      <c r="MZ150" s="121"/>
      <c r="NA150" s="121"/>
      <c r="NB150" s="121"/>
      <c r="NC150" s="121"/>
      <c r="ND150" s="121"/>
      <c r="NE150" s="121"/>
      <c r="NF150" s="121"/>
      <c r="NG150" s="121"/>
      <c r="NH150" s="121"/>
      <c r="NI150" s="121"/>
      <c r="NJ150" s="121"/>
      <c r="NK150" s="121"/>
      <c r="NL150" s="121"/>
      <c r="NM150" s="121"/>
      <c r="NN150" s="121"/>
      <c r="NO150" s="121"/>
      <c r="NP150" s="121"/>
      <c r="NQ150" s="121"/>
      <c r="NR150" s="121"/>
      <c r="NS150" s="121"/>
      <c r="NT150" s="121"/>
      <c r="NU150" s="121"/>
      <c r="NV150" s="121"/>
      <c r="NW150" s="121"/>
      <c r="NX150" s="121"/>
      <c r="NY150" s="121"/>
      <c r="NZ150" s="121"/>
      <c r="OA150" s="121"/>
      <c r="OB150" s="121"/>
      <c r="OC150" s="121"/>
      <c r="OD150" s="121"/>
      <c r="OE150" s="121"/>
      <c r="OF150" s="121"/>
      <c r="OG150" s="121"/>
      <c r="OH150" s="121"/>
      <c r="OI150" s="121"/>
      <c r="OJ150" s="121"/>
      <c r="OK150" s="121"/>
      <c r="OL150" s="121"/>
      <c r="OM150" s="121"/>
      <c r="ON150" s="121"/>
      <c r="OO150" s="121"/>
      <c r="OP150" s="121"/>
      <c r="OQ150" s="121"/>
      <c r="OR150" s="121"/>
      <c r="OS150" s="121"/>
      <c r="OT150" s="121"/>
      <c r="OU150" s="121"/>
      <c r="OV150" s="121"/>
      <c r="OW150" s="121"/>
      <c r="OX150" s="121"/>
      <c r="OY150" s="121"/>
      <c r="OZ150" s="121"/>
      <c r="PA150" s="121"/>
      <c r="PB150" s="121"/>
      <c r="PC150" s="121"/>
      <c r="PD150" s="121"/>
      <c r="PE150" s="121"/>
      <c r="PF150" s="121"/>
      <c r="PG150" s="121"/>
      <c r="PH150" s="121"/>
      <c r="PI150" s="121"/>
      <c r="PJ150" s="121"/>
      <c r="PK150" s="121"/>
      <c r="PL150" s="121"/>
      <c r="PM150" s="121"/>
      <c r="PN150" s="121"/>
      <c r="PO150" s="121"/>
      <c r="PP150" s="121"/>
      <c r="PQ150" s="121"/>
      <c r="PR150" s="121"/>
      <c r="PS150" s="121"/>
      <c r="PT150" s="121"/>
      <c r="PU150" s="121"/>
      <c r="PV150" s="121"/>
      <c r="PW150" s="121"/>
      <c r="PX150" s="121"/>
      <c r="PY150" s="121"/>
      <c r="PZ150" s="121"/>
      <c r="QA150" s="121"/>
      <c r="QB150" s="121"/>
      <c r="QC150" s="121"/>
      <c r="QD150" s="121"/>
      <c r="QE150" s="121"/>
      <c r="QF150" s="121"/>
      <c r="QG150" s="121"/>
      <c r="QH150" s="121"/>
      <c r="QI150" s="121"/>
      <c r="QJ150" s="121"/>
      <c r="QK150" s="121"/>
      <c r="QL150" s="121"/>
      <c r="QM150" s="121"/>
      <c r="QN150" s="121"/>
      <c r="QO150" s="121"/>
      <c r="QP150" s="121"/>
      <c r="QQ150" s="121"/>
      <c r="QR150" s="121"/>
      <c r="QS150" s="121"/>
      <c r="QT150" s="121"/>
      <c r="QU150" s="121"/>
      <c r="QV150" s="121"/>
      <c r="QW150" s="121"/>
      <c r="QX150" s="121"/>
      <c r="QY150" s="121"/>
      <c r="QZ150" s="121"/>
      <c r="RA150" s="121"/>
      <c r="RB150" s="121"/>
      <c r="RC150" s="121"/>
      <c r="RD150" s="121"/>
      <c r="RE150" s="121"/>
      <c r="RF150" s="121"/>
      <c r="RG150" s="121"/>
      <c r="RH150" s="121"/>
      <c r="RI150" s="121"/>
      <c r="RJ150" s="121"/>
      <c r="RK150" s="121"/>
      <c r="RL150" s="121"/>
      <c r="RM150" s="121"/>
      <c r="RN150" s="121"/>
      <c r="RO150" s="121"/>
      <c r="RP150" s="121"/>
      <c r="RQ150" s="121"/>
      <c r="RR150" s="121"/>
      <c r="RS150" s="121"/>
      <c r="RT150" s="121"/>
      <c r="RU150" s="121"/>
      <c r="RV150" s="121"/>
      <c r="RW150" s="121"/>
      <c r="RX150" s="121"/>
      <c r="RY150" s="121"/>
      <c r="RZ150" s="121"/>
      <c r="SA150" s="121"/>
      <c r="SB150" s="121"/>
      <c r="SC150" s="121"/>
      <c r="SD150" s="121"/>
      <c r="SE150" s="121"/>
      <c r="SF150" s="121"/>
      <c r="SG150" s="121"/>
      <c r="SH150" s="121"/>
      <c r="SI150" s="121"/>
      <c r="SJ150" s="121"/>
      <c r="SK150" s="121"/>
      <c r="SL150" s="121"/>
      <c r="SM150" s="121"/>
      <c r="SN150" s="121"/>
      <c r="SO150" s="121"/>
      <c r="SP150" s="121"/>
      <c r="SQ150" s="121"/>
      <c r="SR150" s="121"/>
      <c r="SS150" s="121"/>
      <c r="ST150" s="121"/>
      <c r="SU150" s="121"/>
      <c r="SV150" s="121"/>
      <c r="SW150" s="121"/>
      <c r="SX150" s="121"/>
      <c r="SY150" s="121"/>
      <c r="SZ150" s="121"/>
      <c r="TA150" s="121"/>
      <c r="TB150" s="121"/>
      <c r="TC150" s="121"/>
      <c r="TD150" s="121"/>
      <c r="TE150" s="121"/>
      <c r="TF150" s="121"/>
      <c r="TG150" s="121"/>
      <c r="TH150" s="121"/>
      <c r="TI150" s="121"/>
      <c r="TJ150" s="121"/>
      <c r="TK150" s="121"/>
      <c r="TL150" s="121"/>
      <c r="TM150" s="121"/>
      <c r="TN150" s="121"/>
      <c r="TO150" s="121"/>
      <c r="TP150" s="121"/>
      <c r="TQ150" s="121"/>
      <c r="TR150" s="121"/>
      <c r="TS150" s="121"/>
      <c r="TT150" s="121"/>
      <c r="TU150" s="121"/>
      <c r="TV150" s="121"/>
      <c r="TW150" s="121"/>
      <c r="TX150" s="121"/>
      <c r="TY150" s="121"/>
      <c r="TZ150" s="121"/>
      <c r="UA150" s="121"/>
      <c r="UB150" s="121"/>
      <c r="UC150" s="121"/>
      <c r="UD150" s="121"/>
      <c r="UE150" s="121"/>
      <c r="UF150" s="121"/>
      <c r="UG150" s="121"/>
      <c r="UH150" s="121"/>
      <c r="UI150" s="121"/>
      <c r="UJ150" s="121"/>
      <c r="UK150" s="121"/>
      <c r="UL150" s="121"/>
      <c r="UM150" s="121"/>
      <c r="UN150" s="121"/>
      <c r="UO150" s="121"/>
      <c r="UP150" s="121"/>
      <c r="UQ150" s="121"/>
      <c r="UR150" s="121"/>
      <c r="US150" s="121"/>
      <c r="UT150" s="121"/>
      <c r="UU150" s="121"/>
      <c r="UV150" s="121"/>
      <c r="UW150" s="121"/>
      <c r="UX150" s="121"/>
      <c r="UY150" s="121"/>
      <c r="UZ150" s="121"/>
      <c r="VA150" s="121"/>
      <c r="VB150" s="121"/>
      <c r="VC150" s="121"/>
      <c r="VD150" s="121"/>
      <c r="VE150" s="121"/>
      <c r="VF150" s="121"/>
      <c r="VG150" s="121"/>
      <c r="VH150" s="121"/>
      <c r="VI150" s="121"/>
      <c r="VJ150" s="121"/>
      <c r="VK150" s="121"/>
      <c r="VL150" s="121"/>
      <c r="VM150" s="121"/>
      <c r="VN150" s="121"/>
      <c r="VO150" s="121"/>
      <c r="VP150" s="121"/>
      <c r="VQ150" s="121"/>
      <c r="VR150" s="121"/>
      <c r="VS150" s="121"/>
      <c r="VT150" s="121"/>
      <c r="VU150" s="121"/>
      <c r="VV150" s="121"/>
      <c r="VW150" s="121"/>
      <c r="VX150" s="121"/>
      <c r="VY150" s="121"/>
      <c r="VZ150" s="121"/>
      <c r="WA150" s="121"/>
      <c r="WB150" s="121"/>
      <c r="WC150" s="121"/>
      <c r="WD150" s="121"/>
      <c r="WE150" s="121"/>
      <c r="WF150" s="121"/>
      <c r="WG150" s="121"/>
      <c r="WH150" s="121"/>
      <c r="WI150" s="121"/>
      <c r="WJ150" s="121"/>
      <c r="WK150" s="121"/>
      <c r="WL150" s="121"/>
      <c r="WM150" s="121"/>
      <c r="WN150" s="121"/>
      <c r="WO150" s="121"/>
      <c r="WP150" s="121"/>
      <c r="WQ150" s="121"/>
      <c r="WR150" s="121"/>
      <c r="WS150" s="121"/>
      <c r="WT150" s="121"/>
      <c r="WU150" s="121"/>
      <c r="WV150" s="121"/>
      <c r="WW150" s="121"/>
      <c r="WX150" s="121"/>
      <c r="WY150" s="121"/>
      <c r="WZ150" s="121"/>
      <c r="XA150" s="121"/>
      <c r="XB150" s="121"/>
      <c r="XC150" s="121"/>
      <c r="XD150" s="121"/>
      <c r="XE150" s="121"/>
      <c r="XF150" s="121"/>
      <c r="XG150" s="121"/>
      <c r="XH150" s="121"/>
      <c r="XI150" s="121"/>
      <c r="XJ150" s="121"/>
      <c r="XK150" s="121"/>
      <c r="XL150" s="121"/>
      <c r="XM150" s="121"/>
      <c r="XN150" s="121"/>
      <c r="XO150" s="121"/>
      <c r="XP150" s="121"/>
      <c r="XQ150" s="121"/>
      <c r="XR150" s="121"/>
      <c r="XS150" s="121"/>
      <c r="XT150" s="121"/>
      <c r="XU150" s="121"/>
      <c r="XV150" s="121"/>
      <c r="XW150" s="121"/>
      <c r="XX150" s="121"/>
      <c r="XY150" s="121"/>
      <c r="XZ150" s="121"/>
      <c r="YA150" s="121"/>
      <c r="YB150" s="121"/>
      <c r="YC150" s="121"/>
      <c r="YD150" s="121"/>
      <c r="YE150" s="121"/>
      <c r="YF150" s="121"/>
      <c r="YG150" s="121"/>
      <c r="YH150" s="121"/>
      <c r="YI150" s="121"/>
      <c r="YJ150" s="121"/>
      <c r="YK150" s="121"/>
      <c r="YL150" s="121"/>
      <c r="YM150" s="121"/>
      <c r="YN150" s="121"/>
      <c r="YO150" s="121"/>
      <c r="YP150" s="121"/>
      <c r="YQ150" s="121"/>
      <c r="YR150" s="121"/>
      <c r="YS150" s="121"/>
      <c r="YT150" s="121"/>
      <c r="YU150" s="121"/>
      <c r="YV150" s="121"/>
      <c r="YW150" s="121"/>
      <c r="YX150" s="121"/>
      <c r="YY150" s="121"/>
      <c r="YZ150" s="121"/>
      <c r="ZA150" s="121"/>
      <c r="ZB150" s="121"/>
      <c r="ZC150" s="121"/>
      <c r="ZD150" s="121"/>
      <c r="ZE150" s="121"/>
      <c r="ZF150" s="121"/>
      <c r="ZG150" s="121"/>
      <c r="ZH150" s="121"/>
      <c r="ZI150" s="121"/>
      <c r="ZJ150" s="121"/>
      <c r="ZK150" s="121"/>
      <c r="ZL150" s="121"/>
      <c r="ZM150" s="121"/>
      <c r="ZN150" s="121"/>
      <c r="ZO150" s="121"/>
      <c r="ZP150" s="121"/>
      <c r="ZQ150" s="121"/>
      <c r="ZR150" s="121"/>
      <c r="ZS150" s="121"/>
      <c r="ZT150" s="121"/>
      <c r="ZU150" s="121"/>
      <c r="ZV150" s="121"/>
      <c r="ZW150" s="121"/>
      <c r="ZX150" s="121"/>
      <c r="ZY150" s="121"/>
      <c r="ZZ150" s="121"/>
      <c r="AAA150" s="121"/>
      <c r="AAB150" s="121"/>
      <c r="AAC150" s="121"/>
      <c r="AAD150" s="121"/>
      <c r="AAE150" s="121"/>
      <c r="AAF150" s="121"/>
      <c r="AAG150" s="121"/>
      <c r="AAH150" s="121"/>
      <c r="AAI150" s="121"/>
      <c r="AAJ150" s="121"/>
      <c r="AAK150" s="121"/>
      <c r="AAL150" s="121"/>
      <c r="AAM150" s="121"/>
      <c r="AAN150" s="121"/>
      <c r="AAO150" s="121"/>
      <c r="AAP150" s="121"/>
      <c r="AAQ150" s="121"/>
      <c r="AAR150" s="121"/>
      <c r="AAS150" s="121"/>
      <c r="AAT150" s="121"/>
      <c r="AAU150" s="121"/>
      <c r="AAV150" s="121"/>
      <c r="AAW150" s="121"/>
      <c r="AAX150" s="121"/>
      <c r="AAY150" s="121"/>
      <c r="AAZ150" s="121"/>
      <c r="ABA150" s="121"/>
      <c r="ABB150" s="121"/>
      <c r="ABC150" s="121"/>
      <c r="ABD150" s="121"/>
      <c r="ABE150" s="121"/>
      <c r="ABF150" s="121"/>
      <c r="ABG150" s="121"/>
      <c r="ABH150" s="121"/>
      <c r="ABI150" s="121"/>
      <c r="ABJ150" s="121"/>
      <c r="ABK150" s="121"/>
      <c r="ABL150" s="121"/>
      <c r="ABM150" s="121"/>
      <c r="ABN150" s="121"/>
      <c r="ABO150" s="121"/>
      <c r="ABP150" s="121"/>
      <c r="ABQ150" s="121"/>
      <c r="ABR150" s="121"/>
      <c r="ABS150" s="121"/>
      <c r="ABT150" s="121"/>
      <c r="ABU150" s="121"/>
      <c r="ABV150" s="121"/>
      <c r="ABW150" s="121"/>
      <c r="ABX150" s="121"/>
      <c r="ABY150" s="121"/>
      <c r="ABZ150" s="121"/>
      <c r="ACA150" s="121"/>
      <c r="ACB150" s="121"/>
      <c r="ACC150" s="121"/>
      <c r="ACD150" s="121"/>
      <c r="ACE150" s="121"/>
      <c r="ACF150" s="121"/>
      <c r="ACG150" s="121"/>
      <c r="ACH150" s="121"/>
      <c r="ACI150" s="121"/>
      <c r="ACJ150" s="121"/>
      <c r="ACK150" s="121"/>
      <c r="ACL150" s="121"/>
      <c r="ACM150" s="121"/>
      <c r="ACN150" s="121"/>
      <c r="ACO150" s="121"/>
      <c r="ACP150" s="121"/>
      <c r="ACQ150" s="121"/>
      <c r="ACR150" s="121"/>
      <c r="ACS150" s="121"/>
      <c r="ACT150" s="121"/>
      <c r="ACU150" s="121"/>
      <c r="ACV150" s="121"/>
      <c r="ACW150" s="121"/>
      <c r="ACX150" s="121"/>
      <c r="ACY150" s="121"/>
      <c r="ACZ150" s="121"/>
      <c r="ADA150" s="121"/>
      <c r="ADB150" s="121"/>
      <c r="ADC150" s="121"/>
      <c r="ADD150" s="121"/>
      <c r="ADE150" s="121"/>
      <c r="ADF150" s="121"/>
      <c r="ADG150" s="121"/>
      <c r="ADH150" s="121"/>
      <c r="ADI150" s="121"/>
      <c r="ADJ150" s="121"/>
      <c r="ADK150" s="121"/>
      <c r="ADL150" s="121"/>
      <c r="ADM150" s="121"/>
      <c r="ADN150" s="121"/>
      <c r="ADO150" s="121"/>
      <c r="ADP150" s="121"/>
      <c r="ADQ150" s="121"/>
      <c r="ADR150" s="121"/>
      <c r="ADS150" s="121"/>
      <c r="ADT150" s="121"/>
      <c r="ADU150" s="121"/>
      <c r="ADV150" s="121"/>
      <c r="ADW150" s="121"/>
      <c r="ADX150" s="121"/>
      <c r="ADY150" s="121"/>
      <c r="ADZ150" s="121"/>
      <c r="AEA150" s="121"/>
      <c r="AEB150" s="121"/>
      <c r="AEC150" s="121"/>
      <c r="AED150" s="121"/>
      <c r="AEE150" s="121"/>
      <c r="AEF150" s="121"/>
      <c r="AEG150" s="121"/>
      <c r="AEH150" s="121"/>
      <c r="AEI150" s="121"/>
      <c r="AEJ150" s="121"/>
      <c r="AEK150" s="121"/>
      <c r="AEL150" s="121"/>
      <c r="AEM150" s="121"/>
      <c r="AEN150" s="121"/>
      <c r="AEO150" s="121"/>
      <c r="AEP150" s="121"/>
      <c r="AEQ150" s="121"/>
      <c r="AER150" s="121"/>
      <c r="AES150" s="121"/>
      <c r="AET150" s="121"/>
      <c r="AEU150" s="121"/>
      <c r="AEV150" s="121"/>
      <c r="AEW150" s="121"/>
      <c r="AEX150" s="121"/>
      <c r="AEY150" s="121"/>
      <c r="AEZ150" s="121"/>
      <c r="AFA150" s="121"/>
      <c r="AFB150" s="121"/>
      <c r="AFC150" s="121"/>
      <c r="AFD150" s="121"/>
      <c r="AFE150" s="121"/>
      <c r="AFF150" s="121"/>
      <c r="AFG150" s="121"/>
      <c r="AFH150" s="121"/>
      <c r="AFI150" s="121"/>
      <c r="AFJ150" s="121"/>
      <c r="AFK150" s="121"/>
      <c r="AFL150" s="121"/>
      <c r="AFM150" s="121"/>
      <c r="AFN150" s="121"/>
      <c r="AFO150" s="121"/>
      <c r="AFP150" s="121"/>
      <c r="AFQ150" s="121"/>
      <c r="AFR150" s="121"/>
      <c r="AFS150" s="121"/>
      <c r="AFT150" s="121"/>
      <c r="AFU150" s="121"/>
      <c r="AFV150" s="121"/>
      <c r="AFW150" s="121"/>
      <c r="AFX150" s="121"/>
      <c r="AFY150" s="121"/>
      <c r="AFZ150" s="121"/>
      <c r="AGA150" s="121"/>
      <c r="AGB150" s="121"/>
      <c r="AGC150" s="121"/>
      <c r="AGD150" s="121"/>
      <c r="AGE150" s="121"/>
    </row>
    <row r="151" spans="1:863" s="189" customFormat="1" ht="15.75" customHeight="1" x14ac:dyDescent="0.25">
      <c r="A151" s="390">
        <v>43374</v>
      </c>
      <c r="B151" s="357" t="s">
        <v>119</v>
      </c>
      <c r="C151" s="187" t="s">
        <v>31</v>
      </c>
      <c r="D151" s="187" t="s">
        <v>30</v>
      </c>
      <c r="E151" s="187" t="s">
        <v>81</v>
      </c>
      <c r="F151" s="187">
        <v>88</v>
      </c>
      <c r="G151" s="187">
        <v>144</v>
      </c>
      <c r="H151" s="492"/>
      <c r="I151" s="187">
        <v>1375</v>
      </c>
      <c r="J151" s="188"/>
      <c r="K151" s="310" t="s">
        <v>397</v>
      </c>
      <c r="L151" s="311" t="s">
        <v>395</v>
      </c>
      <c r="M151" s="24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1"/>
      <c r="BK151" s="121"/>
      <c r="BL151" s="121"/>
      <c r="BM151" s="121"/>
      <c r="BN151" s="121"/>
      <c r="BO151" s="121"/>
      <c r="BP151" s="121"/>
      <c r="BQ151" s="121"/>
      <c r="BR151" s="121"/>
      <c r="BS151" s="121"/>
      <c r="BT151" s="121"/>
      <c r="BU151" s="121"/>
      <c r="BV151" s="121"/>
      <c r="BW151" s="121"/>
      <c r="BX151" s="121"/>
      <c r="BY151" s="121"/>
      <c r="BZ151" s="121"/>
      <c r="CA151" s="121"/>
      <c r="CB151" s="121"/>
      <c r="CC151" s="121"/>
      <c r="CD151" s="121"/>
      <c r="CE151" s="121"/>
      <c r="CF151" s="121"/>
      <c r="CG151" s="121"/>
      <c r="CH151" s="121"/>
      <c r="CI151" s="121"/>
      <c r="CJ151" s="121"/>
      <c r="CK151" s="121"/>
      <c r="CL151" s="121"/>
      <c r="CM151" s="121"/>
      <c r="CN151" s="121"/>
      <c r="CO151" s="121"/>
      <c r="CP151" s="121"/>
      <c r="CQ151" s="121"/>
      <c r="CR151" s="121"/>
      <c r="CS151" s="121"/>
      <c r="CT151" s="121"/>
      <c r="CU151" s="121"/>
      <c r="CV151" s="121"/>
      <c r="CW151" s="121"/>
      <c r="CX151" s="121"/>
      <c r="CY151" s="121"/>
      <c r="CZ151" s="121"/>
      <c r="DA151" s="121"/>
      <c r="DB151" s="121"/>
      <c r="DC151" s="121"/>
      <c r="DD151" s="121"/>
      <c r="DE151" s="121"/>
      <c r="DF151" s="121"/>
      <c r="DG151" s="121"/>
      <c r="DH151" s="121"/>
      <c r="DI151" s="121"/>
      <c r="DJ151" s="121"/>
      <c r="DK151" s="121"/>
      <c r="DL151" s="121"/>
      <c r="DM151" s="121"/>
      <c r="DN151" s="121"/>
      <c r="DO151" s="121"/>
      <c r="DP151" s="121"/>
      <c r="DQ151" s="121"/>
      <c r="DR151" s="121"/>
      <c r="DS151" s="121"/>
      <c r="DT151" s="121"/>
      <c r="DU151" s="121"/>
      <c r="DV151" s="121"/>
      <c r="DW151" s="121"/>
      <c r="DX151" s="121"/>
      <c r="DY151" s="121"/>
      <c r="DZ151" s="121"/>
      <c r="EA151" s="121"/>
      <c r="EB151" s="121"/>
      <c r="EC151" s="121"/>
      <c r="ED151" s="121"/>
      <c r="EE151" s="121"/>
      <c r="EF151" s="121"/>
      <c r="EG151" s="121"/>
      <c r="EH151" s="121"/>
      <c r="EI151" s="121"/>
      <c r="EJ151" s="121"/>
      <c r="EK151" s="121"/>
      <c r="EL151" s="121"/>
      <c r="EM151" s="121"/>
      <c r="EN151" s="121"/>
      <c r="EO151" s="121"/>
      <c r="EP151" s="121"/>
      <c r="EQ151" s="121"/>
      <c r="ER151" s="121"/>
      <c r="ES151" s="121"/>
      <c r="ET151" s="121"/>
      <c r="EU151" s="121"/>
      <c r="EV151" s="121"/>
      <c r="EW151" s="121"/>
      <c r="EX151" s="121"/>
      <c r="EY151" s="121"/>
      <c r="EZ151" s="121"/>
      <c r="FA151" s="121"/>
      <c r="FB151" s="121"/>
      <c r="FC151" s="121"/>
      <c r="FD151" s="121"/>
      <c r="FE151" s="121"/>
      <c r="FF151" s="121"/>
      <c r="FG151" s="121"/>
      <c r="FH151" s="121"/>
      <c r="FI151" s="121"/>
      <c r="FJ151" s="121"/>
      <c r="FK151" s="121"/>
      <c r="FL151" s="121"/>
      <c r="FM151" s="121"/>
      <c r="FN151" s="121"/>
      <c r="FO151" s="121"/>
      <c r="FP151" s="121"/>
      <c r="FQ151" s="121"/>
      <c r="FR151" s="121"/>
      <c r="FS151" s="121"/>
      <c r="FT151" s="121"/>
      <c r="FU151" s="121"/>
      <c r="FV151" s="121"/>
      <c r="FW151" s="121"/>
      <c r="FX151" s="121"/>
      <c r="FY151" s="121"/>
      <c r="FZ151" s="121"/>
      <c r="GA151" s="121"/>
      <c r="GB151" s="121"/>
      <c r="GC151" s="121"/>
      <c r="GD151" s="121"/>
      <c r="GE151" s="121"/>
      <c r="GF151" s="121"/>
      <c r="GG151" s="121"/>
      <c r="GH151" s="121"/>
      <c r="GI151" s="121"/>
      <c r="GJ151" s="121"/>
      <c r="GK151" s="121"/>
      <c r="GL151" s="121"/>
      <c r="GM151" s="121"/>
      <c r="GN151" s="121"/>
      <c r="GO151" s="121"/>
      <c r="GP151" s="121"/>
      <c r="GQ151" s="121"/>
      <c r="GR151" s="121"/>
      <c r="GS151" s="121"/>
      <c r="GT151" s="121"/>
      <c r="GU151" s="121"/>
      <c r="GV151" s="121"/>
      <c r="GW151" s="121"/>
      <c r="GX151" s="121"/>
      <c r="GY151" s="121"/>
      <c r="GZ151" s="121"/>
      <c r="HA151" s="121"/>
      <c r="HB151" s="121"/>
      <c r="HC151" s="121"/>
      <c r="HD151" s="121"/>
      <c r="HE151" s="121"/>
      <c r="HF151" s="121"/>
      <c r="HG151" s="121"/>
      <c r="HH151" s="121"/>
      <c r="HI151" s="121"/>
      <c r="HJ151" s="121"/>
      <c r="HK151" s="121"/>
      <c r="HL151" s="121"/>
      <c r="HM151" s="121"/>
      <c r="HN151" s="121"/>
      <c r="HO151" s="121"/>
      <c r="HP151" s="121"/>
      <c r="HQ151" s="121"/>
      <c r="HR151" s="121"/>
      <c r="HS151" s="121"/>
      <c r="HT151" s="121"/>
      <c r="HU151" s="121"/>
      <c r="HV151" s="121"/>
      <c r="HW151" s="121"/>
      <c r="HX151" s="121"/>
      <c r="HY151" s="121"/>
      <c r="HZ151" s="121"/>
      <c r="IA151" s="121"/>
      <c r="IB151" s="121"/>
      <c r="IC151" s="121"/>
      <c r="ID151" s="121"/>
      <c r="IE151" s="121"/>
      <c r="IF151" s="121"/>
      <c r="IG151" s="121"/>
      <c r="IH151" s="121"/>
      <c r="II151" s="121"/>
      <c r="IJ151" s="121"/>
      <c r="IK151" s="121"/>
      <c r="IL151" s="121"/>
      <c r="IM151" s="121"/>
      <c r="IN151" s="121"/>
      <c r="IO151" s="121"/>
      <c r="IP151" s="121"/>
      <c r="IQ151" s="121"/>
      <c r="IR151" s="121"/>
      <c r="IS151" s="121"/>
      <c r="IT151" s="121"/>
      <c r="IU151" s="121"/>
      <c r="IV151" s="121"/>
      <c r="IW151" s="121"/>
      <c r="IX151" s="121"/>
      <c r="IY151" s="121"/>
      <c r="IZ151" s="121"/>
      <c r="JA151" s="121"/>
      <c r="JB151" s="121"/>
      <c r="JC151" s="121"/>
      <c r="JD151" s="121"/>
      <c r="JE151" s="121"/>
      <c r="JF151" s="121"/>
      <c r="JG151" s="121"/>
      <c r="JH151" s="121"/>
      <c r="JI151" s="121"/>
      <c r="JJ151" s="121"/>
      <c r="JK151" s="121"/>
      <c r="JL151" s="121"/>
      <c r="JM151" s="121"/>
      <c r="JN151" s="121"/>
      <c r="JO151" s="121"/>
      <c r="JP151" s="121"/>
      <c r="JQ151" s="121"/>
      <c r="JR151" s="121"/>
      <c r="JS151" s="121"/>
      <c r="JT151" s="121"/>
      <c r="JU151" s="121"/>
      <c r="JV151" s="121"/>
      <c r="JW151" s="121"/>
      <c r="JX151" s="121"/>
      <c r="JY151" s="121"/>
      <c r="JZ151" s="121"/>
      <c r="KA151" s="121"/>
      <c r="KB151" s="121"/>
      <c r="KC151" s="121"/>
      <c r="KD151" s="121"/>
      <c r="KE151" s="121"/>
      <c r="KF151" s="121"/>
      <c r="KG151" s="121"/>
      <c r="KH151" s="121"/>
      <c r="KI151" s="121"/>
      <c r="KJ151" s="121"/>
      <c r="KK151" s="121"/>
      <c r="KL151" s="121"/>
      <c r="KM151" s="121"/>
      <c r="KN151" s="121"/>
      <c r="KO151" s="121"/>
      <c r="KP151" s="121"/>
      <c r="KQ151" s="121"/>
      <c r="KR151" s="121"/>
      <c r="KS151" s="121"/>
      <c r="KT151" s="121"/>
      <c r="KU151" s="121"/>
      <c r="KV151" s="121"/>
      <c r="KW151" s="121"/>
      <c r="KX151" s="121"/>
      <c r="KY151" s="121"/>
      <c r="KZ151" s="121"/>
      <c r="LA151" s="121"/>
      <c r="LB151" s="121"/>
      <c r="LC151" s="121"/>
      <c r="LD151" s="121"/>
      <c r="LE151" s="121"/>
      <c r="LF151" s="121"/>
      <c r="LG151" s="121"/>
      <c r="LH151" s="121"/>
      <c r="LI151" s="121"/>
      <c r="LJ151" s="121"/>
      <c r="LK151" s="121"/>
      <c r="LL151" s="121"/>
      <c r="LM151" s="121"/>
      <c r="LN151" s="121"/>
      <c r="LO151" s="121"/>
      <c r="LP151" s="121"/>
      <c r="LQ151" s="121"/>
      <c r="LR151" s="121"/>
      <c r="LS151" s="121"/>
      <c r="LT151" s="121"/>
      <c r="LU151" s="121"/>
      <c r="LV151" s="121"/>
      <c r="LW151" s="121"/>
      <c r="LX151" s="121"/>
      <c r="LY151" s="121"/>
      <c r="LZ151" s="121"/>
      <c r="MA151" s="121"/>
      <c r="MB151" s="121"/>
      <c r="MC151" s="121"/>
      <c r="MD151" s="121"/>
      <c r="ME151" s="121"/>
      <c r="MF151" s="121"/>
      <c r="MG151" s="121"/>
      <c r="MH151" s="121"/>
      <c r="MI151" s="121"/>
      <c r="MJ151" s="121"/>
      <c r="MK151" s="121"/>
      <c r="ML151" s="121"/>
      <c r="MM151" s="121"/>
      <c r="MN151" s="121"/>
      <c r="MO151" s="121"/>
      <c r="MP151" s="121"/>
      <c r="MQ151" s="121"/>
      <c r="MR151" s="121"/>
      <c r="MS151" s="121"/>
      <c r="MT151" s="121"/>
      <c r="MU151" s="121"/>
      <c r="MV151" s="121"/>
      <c r="MW151" s="121"/>
      <c r="MX151" s="121"/>
      <c r="MY151" s="121"/>
      <c r="MZ151" s="121"/>
      <c r="NA151" s="121"/>
      <c r="NB151" s="121"/>
      <c r="NC151" s="121"/>
      <c r="ND151" s="121"/>
      <c r="NE151" s="121"/>
      <c r="NF151" s="121"/>
      <c r="NG151" s="121"/>
      <c r="NH151" s="121"/>
      <c r="NI151" s="121"/>
      <c r="NJ151" s="121"/>
      <c r="NK151" s="121"/>
      <c r="NL151" s="121"/>
      <c r="NM151" s="121"/>
      <c r="NN151" s="121"/>
      <c r="NO151" s="121"/>
      <c r="NP151" s="121"/>
      <c r="NQ151" s="121"/>
      <c r="NR151" s="121"/>
      <c r="NS151" s="121"/>
      <c r="NT151" s="121"/>
      <c r="NU151" s="121"/>
      <c r="NV151" s="121"/>
      <c r="NW151" s="121"/>
      <c r="NX151" s="121"/>
      <c r="NY151" s="121"/>
      <c r="NZ151" s="121"/>
      <c r="OA151" s="121"/>
      <c r="OB151" s="121"/>
      <c r="OC151" s="121"/>
      <c r="OD151" s="121"/>
      <c r="OE151" s="121"/>
      <c r="OF151" s="121"/>
      <c r="OG151" s="121"/>
      <c r="OH151" s="121"/>
      <c r="OI151" s="121"/>
      <c r="OJ151" s="121"/>
      <c r="OK151" s="121"/>
      <c r="OL151" s="121"/>
      <c r="OM151" s="121"/>
      <c r="ON151" s="121"/>
      <c r="OO151" s="121"/>
      <c r="OP151" s="121"/>
      <c r="OQ151" s="121"/>
      <c r="OR151" s="121"/>
      <c r="OS151" s="121"/>
      <c r="OT151" s="121"/>
      <c r="OU151" s="121"/>
      <c r="OV151" s="121"/>
      <c r="OW151" s="121"/>
      <c r="OX151" s="121"/>
      <c r="OY151" s="121"/>
      <c r="OZ151" s="121"/>
      <c r="PA151" s="121"/>
      <c r="PB151" s="121"/>
      <c r="PC151" s="121"/>
      <c r="PD151" s="121"/>
      <c r="PE151" s="121"/>
      <c r="PF151" s="121"/>
      <c r="PG151" s="121"/>
      <c r="PH151" s="121"/>
      <c r="PI151" s="121"/>
      <c r="PJ151" s="121"/>
      <c r="PK151" s="121"/>
      <c r="PL151" s="121"/>
      <c r="PM151" s="121"/>
      <c r="PN151" s="121"/>
      <c r="PO151" s="121"/>
      <c r="PP151" s="121"/>
      <c r="PQ151" s="121"/>
      <c r="PR151" s="121"/>
      <c r="PS151" s="121"/>
      <c r="PT151" s="121"/>
      <c r="PU151" s="121"/>
      <c r="PV151" s="121"/>
      <c r="PW151" s="121"/>
      <c r="PX151" s="121"/>
      <c r="PY151" s="121"/>
      <c r="PZ151" s="121"/>
      <c r="QA151" s="121"/>
      <c r="QB151" s="121"/>
      <c r="QC151" s="121"/>
      <c r="QD151" s="121"/>
      <c r="QE151" s="121"/>
      <c r="QF151" s="121"/>
      <c r="QG151" s="121"/>
      <c r="QH151" s="121"/>
      <c r="QI151" s="121"/>
      <c r="QJ151" s="121"/>
      <c r="QK151" s="121"/>
      <c r="QL151" s="121"/>
      <c r="QM151" s="121"/>
      <c r="QN151" s="121"/>
      <c r="QO151" s="121"/>
      <c r="QP151" s="121"/>
      <c r="QQ151" s="121"/>
      <c r="QR151" s="121"/>
      <c r="QS151" s="121"/>
      <c r="QT151" s="121"/>
      <c r="QU151" s="121"/>
      <c r="QV151" s="121"/>
      <c r="QW151" s="121"/>
      <c r="QX151" s="121"/>
      <c r="QY151" s="121"/>
      <c r="QZ151" s="121"/>
      <c r="RA151" s="121"/>
      <c r="RB151" s="121"/>
      <c r="RC151" s="121"/>
      <c r="RD151" s="121"/>
      <c r="RE151" s="121"/>
      <c r="RF151" s="121"/>
      <c r="RG151" s="121"/>
      <c r="RH151" s="121"/>
      <c r="RI151" s="121"/>
      <c r="RJ151" s="121"/>
      <c r="RK151" s="121"/>
      <c r="RL151" s="121"/>
      <c r="RM151" s="121"/>
      <c r="RN151" s="121"/>
      <c r="RO151" s="121"/>
      <c r="RP151" s="121"/>
      <c r="RQ151" s="121"/>
      <c r="RR151" s="121"/>
      <c r="RS151" s="121"/>
      <c r="RT151" s="121"/>
      <c r="RU151" s="121"/>
      <c r="RV151" s="121"/>
      <c r="RW151" s="121"/>
      <c r="RX151" s="121"/>
      <c r="RY151" s="121"/>
      <c r="RZ151" s="121"/>
      <c r="SA151" s="121"/>
      <c r="SB151" s="121"/>
      <c r="SC151" s="121"/>
      <c r="SD151" s="121"/>
      <c r="SE151" s="121"/>
      <c r="SF151" s="121"/>
      <c r="SG151" s="121"/>
      <c r="SH151" s="121"/>
      <c r="SI151" s="121"/>
      <c r="SJ151" s="121"/>
      <c r="SK151" s="121"/>
      <c r="SL151" s="121"/>
      <c r="SM151" s="121"/>
      <c r="SN151" s="121"/>
      <c r="SO151" s="121"/>
      <c r="SP151" s="121"/>
      <c r="SQ151" s="121"/>
      <c r="SR151" s="121"/>
      <c r="SS151" s="121"/>
      <c r="ST151" s="121"/>
      <c r="SU151" s="121"/>
      <c r="SV151" s="121"/>
      <c r="SW151" s="121"/>
      <c r="SX151" s="121"/>
      <c r="SY151" s="121"/>
      <c r="SZ151" s="121"/>
      <c r="TA151" s="121"/>
      <c r="TB151" s="121"/>
      <c r="TC151" s="121"/>
      <c r="TD151" s="121"/>
      <c r="TE151" s="121"/>
      <c r="TF151" s="121"/>
      <c r="TG151" s="121"/>
      <c r="TH151" s="121"/>
      <c r="TI151" s="121"/>
      <c r="TJ151" s="121"/>
      <c r="TK151" s="121"/>
      <c r="TL151" s="121"/>
      <c r="TM151" s="121"/>
      <c r="TN151" s="121"/>
      <c r="TO151" s="121"/>
      <c r="TP151" s="121"/>
      <c r="TQ151" s="121"/>
      <c r="TR151" s="121"/>
      <c r="TS151" s="121"/>
      <c r="TT151" s="121"/>
      <c r="TU151" s="121"/>
      <c r="TV151" s="121"/>
      <c r="TW151" s="121"/>
      <c r="TX151" s="121"/>
      <c r="TY151" s="121"/>
      <c r="TZ151" s="121"/>
      <c r="UA151" s="121"/>
      <c r="UB151" s="121"/>
      <c r="UC151" s="121"/>
      <c r="UD151" s="121"/>
      <c r="UE151" s="121"/>
      <c r="UF151" s="121"/>
      <c r="UG151" s="121"/>
      <c r="UH151" s="121"/>
      <c r="UI151" s="121"/>
      <c r="UJ151" s="121"/>
      <c r="UK151" s="121"/>
      <c r="UL151" s="121"/>
      <c r="UM151" s="121"/>
      <c r="UN151" s="121"/>
      <c r="UO151" s="121"/>
      <c r="UP151" s="121"/>
      <c r="UQ151" s="121"/>
      <c r="UR151" s="121"/>
      <c r="US151" s="121"/>
      <c r="UT151" s="121"/>
      <c r="UU151" s="121"/>
      <c r="UV151" s="121"/>
      <c r="UW151" s="121"/>
      <c r="UX151" s="121"/>
      <c r="UY151" s="121"/>
      <c r="UZ151" s="121"/>
      <c r="VA151" s="121"/>
      <c r="VB151" s="121"/>
      <c r="VC151" s="121"/>
      <c r="VD151" s="121"/>
      <c r="VE151" s="121"/>
      <c r="VF151" s="121"/>
      <c r="VG151" s="121"/>
      <c r="VH151" s="121"/>
      <c r="VI151" s="121"/>
      <c r="VJ151" s="121"/>
      <c r="VK151" s="121"/>
      <c r="VL151" s="121"/>
      <c r="VM151" s="121"/>
      <c r="VN151" s="121"/>
      <c r="VO151" s="121"/>
      <c r="VP151" s="121"/>
      <c r="VQ151" s="121"/>
      <c r="VR151" s="121"/>
      <c r="VS151" s="121"/>
      <c r="VT151" s="121"/>
      <c r="VU151" s="121"/>
      <c r="VV151" s="121"/>
      <c r="VW151" s="121"/>
      <c r="VX151" s="121"/>
      <c r="VY151" s="121"/>
      <c r="VZ151" s="121"/>
      <c r="WA151" s="121"/>
      <c r="WB151" s="121"/>
      <c r="WC151" s="121"/>
      <c r="WD151" s="121"/>
      <c r="WE151" s="121"/>
      <c r="WF151" s="121"/>
      <c r="WG151" s="121"/>
      <c r="WH151" s="121"/>
      <c r="WI151" s="121"/>
      <c r="WJ151" s="121"/>
      <c r="WK151" s="121"/>
      <c r="WL151" s="121"/>
      <c r="WM151" s="121"/>
      <c r="WN151" s="121"/>
      <c r="WO151" s="121"/>
      <c r="WP151" s="121"/>
      <c r="WQ151" s="121"/>
      <c r="WR151" s="121"/>
      <c r="WS151" s="121"/>
      <c r="WT151" s="121"/>
      <c r="WU151" s="121"/>
      <c r="WV151" s="121"/>
      <c r="WW151" s="121"/>
      <c r="WX151" s="121"/>
      <c r="WY151" s="121"/>
      <c r="WZ151" s="121"/>
      <c r="XA151" s="121"/>
      <c r="XB151" s="121"/>
      <c r="XC151" s="121"/>
      <c r="XD151" s="121"/>
      <c r="XE151" s="121"/>
      <c r="XF151" s="121"/>
      <c r="XG151" s="121"/>
      <c r="XH151" s="121"/>
      <c r="XI151" s="121"/>
      <c r="XJ151" s="121"/>
      <c r="XK151" s="121"/>
      <c r="XL151" s="121"/>
      <c r="XM151" s="121"/>
      <c r="XN151" s="121"/>
      <c r="XO151" s="121"/>
      <c r="XP151" s="121"/>
      <c r="XQ151" s="121"/>
      <c r="XR151" s="121"/>
      <c r="XS151" s="121"/>
      <c r="XT151" s="121"/>
      <c r="XU151" s="121"/>
      <c r="XV151" s="121"/>
      <c r="XW151" s="121"/>
      <c r="XX151" s="121"/>
      <c r="XY151" s="121"/>
      <c r="XZ151" s="121"/>
      <c r="YA151" s="121"/>
      <c r="YB151" s="121"/>
      <c r="YC151" s="121"/>
      <c r="YD151" s="121"/>
      <c r="YE151" s="121"/>
      <c r="YF151" s="121"/>
      <c r="YG151" s="121"/>
      <c r="YH151" s="121"/>
      <c r="YI151" s="121"/>
      <c r="YJ151" s="121"/>
      <c r="YK151" s="121"/>
      <c r="YL151" s="121"/>
      <c r="YM151" s="121"/>
      <c r="YN151" s="121"/>
      <c r="YO151" s="121"/>
      <c r="YP151" s="121"/>
      <c r="YQ151" s="121"/>
      <c r="YR151" s="121"/>
      <c r="YS151" s="121"/>
      <c r="YT151" s="121"/>
      <c r="YU151" s="121"/>
      <c r="YV151" s="121"/>
      <c r="YW151" s="121"/>
      <c r="YX151" s="121"/>
      <c r="YY151" s="121"/>
      <c r="YZ151" s="121"/>
      <c r="ZA151" s="121"/>
      <c r="ZB151" s="121"/>
      <c r="ZC151" s="121"/>
      <c r="ZD151" s="121"/>
      <c r="ZE151" s="121"/>
      <c r="ZF151" s="121"/>
      <c r="ZG151" s="121"/>
      <c r="ZH151" s="121"/>
      <c r="ZI151" s="121"/>
      <c r="ZJ151" s="121"/>
      <c r="ZK151" s="121"/>
      <c r="ZL151" s="121"/>
      <c r="ZM151" s="121"/>
      <c r="ZN151" s="121"/>
      <c r="ZO151" s="121"/>
      <c r="ZP151" s="121"/>
      <c r="ZQ151" s="121"/>
      <c r="ZR151" s="121"/>
      <c r="ZS151" s="121"/>
      <c r="ZT151" s="121"/>
      <c r="ZU151" s="121"/>
      <c r="ZV151" s="121"/>
      <c r="ZW151" s="121"/>
      <c r="ZX151" s="121"/>
      <c r="ZY151" s="121"/>
      <c r="ZZ151" s="121"/>
      <c r="AAA151" s="121"/>
      <c r="AAB151" s="121"/>
      <c r="AAC151" s="121"/>
      <c r="AAD151" s="121"/>
      <c r="AAE151" s="121"/>
      <c r="AAF151" s="121"/>
      <c r="AAG151" s="121"/>
      <c r="AAH151" s="121"/>
      <c r="AAI151" s="121"/>
      <c r="AAJ151" s="121"/>
      <c r="AAK151" s="121"/>
      <c r="AAL151" s="121"/>
      <c r="AAM151" s="121"/>
      <c r="AAN151" s="121"/>
      <c r="AAO151" s="121"/>
      <c r="AAP151" s="121"/>
      <c r="AAQ151" s="121"/>
      <c r="AAR151" s="121"/>
      <c r="AAS151" s="121"/>
      <c r="AAT151" s="121"/>
      <c r="AAU151" s="121"/>
      <c r="AAV151" s="121"/>
      <c r="AAW151" s="121"/>
      <c r="AAX151" s="121"/>
      <c r="AAY151" s="121"/>
      <c r="AAZ151" s="121"/>
      <c r="ABA151" s="121"/>
      <c r="ABB151" s="121"/>
      <c r="ABC151" s="121"/>
      <c r="ABD151" s="121"/>
      <c r="ABE151" s="121"/>
      <c r="ABF151" s="121"/>
      <c r="ABG151" s="121"/>
      <c r="ABH151" s="121"/>
      <c r="ABI151" s="121"/>
      <c r="ABJ151" s="121"/>
      <c r="ABK151" s="121"/>
      <c r="ABL151" s="121"/>
      <c r="ABM151" s="121"/>
      <c r="ABN151" s="121"/>
      <c r="ABO151" s="121"/>
      <c r="ABP151" s="121"/>
      <c r="ABQ151" s="121"/>
      <c r="ABR151" s="121"/>
      <c r="ABS151" s="121"/>
      <c r="ABT151" s="121"/>
      <c r="ABU151" s="121"/>
      <c r="ABV151" s="121"/>
      <c r="ABW151" s="121"/>
      <c r="ABX151" s="121"/>
      <c r="ABY151" s="121"/>
      <c r="ABZ151" s="121"/>
      <c r="ACA151" s="121"/>
      <c r="ACB151" s="121"/>
      <c r="ACC151" s="121"/>
      <c r="ACD151" s="121"/>
      <c r="ACE151" s="121"/>
      <c r="ACF151" s="121"/>
      <c r="ACG151" s="121"/>
      <c r="ACH151" s="121"/>
      <c r="ACI151" s="121"/>
      <c r="ACJ151" s="121"/>
      <c r="ACK151" s="121"/>
      <c r="ACL151" s="121"/>
      <c r="ACM151" s="121"/>
      <c r="ACN151" s="121"/>
      <c r="ACO151" s="121"/>
      <c r="ACP151" s="121"/>
      <c r="ACQ151" s="121"/>
      <c r="ACR151" s="121"/>
      <c r="ACS151" s="121"/>
      <c r="ACT151" s="121"/>
      <c r="ACU151" s="121"/>
      <c r="ACV151" s="121"/>
      <c r="ACW151" s="121"/>
      <c r="ACX151" s="121"/>
      <c r="ACY151" s="121"/>
      <c r="ACZ151" s="121"/>
      <c r="ADA151" s="121"/>
      <c r="ADB151" s="121"/>
      <c r="ADC151" s="121"/>
      <c r="ADD151" s="121"/>
      <c r="ADE151" s="121"/>
      <c r="ADF151" s="121"/>
      <c r="ADG151" s="121"/>
      <c r="ADH151" s="121"/>
      <c r="ADI151" s="121"/>
      <c r="ADJ151" s="121"/>
      <c r="ADK151" s="121"/>
      <c r="ADL151" s="121"/>
      <c r="ADM151" s="121"/>
      <c r="ADN151" s="121"/>
      <c r="ADO151" s="121"/>
      <c r="ADP151" s="121"/>
      <c r="ADQ151" s="121"/>
      <c r="ADR151" s="121"/>
      <c r="ADS151" s="121"/>
      <c r="ADT151" s="121"/>
      <c r="ADU151" s="121"/>
      <c r="ADV151" s="121"/>
      <c r="ADW151" s="121"/>
      <c r="ADX151" s="121"/>
      <c r="ADY151" s="121"/>
      <c r="ADZ151" s="121"/>
      <c r="AEA151" s="121"/>
      <c r="AEB151" s="121"/>
      <c r="AEC151" s="121"/>
      <c r="AED151" s="121"/>
      <c r="AEE151" s="121"/>
      <c r="AEF151" s="121"/>
      <c r="AEG151" s="121"/>
      <c r="AEH151" s="121"/>
      <c r="AEI151" s="121"/>
      <c r="AEJ151" s="121"/>
      <c r="AEK151" s="121"/>
      <c r="AEL151" s="121"/>
      <c r="AEM151" s="121"/>
      <c r="AEN151" s="121"/>
      <c r="AEO151" s="121"/>
      <c r="AEP151" s="121"/>
      <c r="AEQ151" s="121"/>
      <c r="AER151" s="121"/>
      <c r="AES151" s="121"/>
      <c r="AET151" s="121"/>
      <c r="AEU151" s="121"/>
      <c r="AEV151" s="121"/>
      <c r="AEW151" s="121"/>
      <c r="AEX151" s="121"/>
      <c r="AEY151" s="121"/>
      <c r="AEZ151" s="121"/>
      <c r="AFA151" s="121"/>
      <c r="AFB151" s="121"/>
      <c r="AFC151" s="121"/>
      <c r="AFD151" s="121"/>
      <c r="AFE151" s="121"/>
      <c r="AFF151" s="121"/>
      <c r="AFG151" s="121"/>
      <c r="AFH151" s="121"/>
      <c r="AFI151" s="121"/>
      <c r="AFJ151" s="121"/>
      <c r="AFK151" s="121"/>
      <c r="AFL151" s="121"/>
      <c r="AFM151" s="121"/>
      <c r="AFN151" s="121"/>
      <c r="AFO151" s="121"/>
      <c r="AFP151" s="121"/>
      <c r="AFQ151" s="121"/>
      <c r="AFR151" s="121"/>
      <c r="AFS151" s="121"/>
      <c r="AFT151" s="121"/>
      <c r="AFU151" s="121"/>
      <c r="AFV151" s="121"/>
      <c r="AFW151" s="121"/>
      <c r="AFX151" s="121"/>
      <c r="AFY151" s="121"/>
      <c r="AFZ151" s="121"/>
      <c r="AGA151" s="121"/>
      <c r="AGB151" s="121"/>
      <c r="AGC151" s="121"/>
      <c r="AGD151" s="121"/>
      <c r="AGE151" s="121"/>
    </row>
    <row r="152" spans="1:863" s="189" customFormat="1" ht="15.75" customHeight="1" x14ac:dyDescent="0.25">
      <c r="A152" s="390">
        <v>43374</v>
      </c>
      <c r="B152" s="357" t="s">
        <v>120</v>
      </c>
      <c r="C152" s="187" t="s">
        <v>31</v>
      </c>
      <c r="D152" s="187" t="s">
        <v>30</v>
      </c>
      <c r="E152" s="187" t="s">
        <v>81</v>
      </c>
      <c r="F152" s="187">
        <v>84</v>
      </c>
      <c r="G152" s="187">
        <v>144</v>
      </c>
      <c r="H152" s="491">
        <f>SUM(I152:I154)</f>
        <v>3670</v>
      </c>
      <c r="I152" s="187">
        <v>1468</v>
      </c>
      <c r="J152" s="187"/>
      <c r="K152" s="310" t="s">
        <v>397</v>
      </c>
      <c r="L152" s="311" t="s">
        <v>395</v>
      </c>
      <c r="M152" s="241"/>
      <c r="N152" s="89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1"/>
      <c r="BK152" s="121"/>
      <c r="BL152" s="121"/>
      <c r="BM152" s="121"/>
      <c r="BN152" s="121"/>
      <c r="BO152" s="121"/>
      <c r="BP152" s="121"/>
      <c r="BQ152" s="121"/>
      <c r="BR152" s="121"/>
      <c r="BS152" s="121"/>
      <c r="BT152" s="121"/>
      <c r="BU152" s="121"/>
      <c r="BV152" s="121"/>
      <c r="BW152" s="121"/>
      <c r="BX152" s="121"/>
      <c r="BY152" s="121"/>
      <c r="BZ152" s="121"/>
      <c r="CA152" s="121"/>
      <c r="CB152" s="121"/>
      <c r="CC152" s="121"/>
      <c r="CD152" s="121"/>
      <c r="CE152" s="121"/>
      <c r="CF152" s="121"/>
      <c r="CG152" s="121"/>
      <c r="CH152" s="121"/>
      <c r="CI152" s="121"/>
      <c r="CJ152" s="121"/>
      <c r="CK152" s="121"/>
      <c r="CL152" s="121"/>
      <c r="CM152" s="121"/>
      <c r="CN152" s="121"/>
      <c r="CO152" s="121"/>
      <c r="CP152" s="121"/>
      <c r="CQ152" s="121"/>
      <c r="CR152" s="121"/>
      <c r="CS152" s="121"/>
      <c r="CT152" s="121"/>
      <c r="CU152" s="121"/>
      <c r="CV152" s="121"/>
      <c r="CW152" s="121"/>
      <c r="CX152" s="121"/>
      <c r="CY152" s="121"/>
      <c r="CZ152" s="121"/>
      <c r="DA152" s="121"/>
      <c r="DB152" s="121"/>
      <c r="DC152" s="121"/>
      <c r="DD152" s="121"/>
      <c r="DE152" s="121"/>
      <c r="DF152" s="121"/>
      <c r="DG152" s="121"/>
      <c r="DH152" s="121"/>
      <c r="DI152" s="121"/>
      <c r="DJ152" s="121"/>
      <c r="DK152" s="121"/>
      <c r="DL152" s="121"/>
      <c r="DM152" s="121"/>
      <c r="DN152" s="121"/>
      <c r="DO152" s="121"/>
      <c r="DP152" s="121"/>
      <c r="DQ152" s="121"/>
      <c r="DR152" s="121"/>
      <c r="DS152" s="121"/>
      <c r="DT152" s="121"/>
      <c r="DU152" s="121"/>
      <c r="DV152" s="121"/>
      <c r="DW152" s="121"/>
      <c r="DX152" s="121"/>
      <c r="DY152" s="121"/>
      <c r="DZ152" s="121"/>
      <c r="EA152" s="121"/>
      <c r="EB152" s="121"/>
      <c r="EC152" s="121"/>
      <c r="ED152" s="121"/>
      <c r="EE152" s="121"/>
      <c r="EF152" s="121"/>
      <c r="EG152" s="121"/>
      <c r="EH152" s="121"/>
      <c r="EI152" s="121"/>
      <c r="EJ152" s="121"/>
      <c r="EK152" s="121"/>
      <c r="EL152" s="121"/>
      <c r="EM152" s="121"/>
      <c r="EN152" s="121"/>
      <c r="EO152" s="121"/>
      <c r="EP152" s="121"/>
      <c r="EQ152" s="121"/>
      <c r="ER152" s="121"/>
      <c r="ES152" s="121"/>
      <c r="ET152" s="121"/>
      <c r="EU152" s="121"/>
      <c r="EV152" s="121"/>
      <c r="EW152" s="121"/>
      <c r="EX152" s="121"/>
      <c r="EY152" s="121"/>
      <c r="EZ152" s="121"/>
      <c r="FA152" s="121"/>
      <c r="FB152" s="121"/>
      <c r="FC152" s="121"/>
      <c r="FD152" s="121"/>
      <c r="FE152" s="121"/>
      <c r="FF152" s="121"/>
      <c r="FG152" s="121"/>
      <c r="FH152" s="121"/>
      <c r="FI152" s="121"/>
      <c r="FJ152" s="121"/>
      <c r="FK152" s="121"/>
      <c r="FL152" s="121"/>
      <c r="FM152" s="121"/>
      <c r="FN152" s="121"/>
      <c r="FO152" s="121"/>
      <c r="FP152" s="121"/>
      <c r="FQ152" s="121"/>
      <c r="FR152" s="121"/>
      <c r="FS152" s="121"/>
      <c r="FT152" s="121"/>
      <c r="FU152" s="121"/>
      <c r="FV152" s="121"/>
      <c r="FW152" s="121"/>
      <c r="FX152" s="121"/>
      <c r="FY152" s="121"/>
      <c r="FZ152" s="121"/>
      <c r="GA152" s="121"/>
      <c r="GB152" s="121"/>
      <c r="GC152" s="121"/>
      <c r="GD152" s="121"/>
      <c r="GE152" s="121"/>
      <c r="GF152" s="121"/>
      <c r="GG152" s="121"/>
      <c r="GH152" s="121"/>
      <c r="GI152" s="121"/>
      <c r="GJ152" s="121"/>
      <c r="GK152" s="121"/>
      <c r="GL152" s="121"/>
      <c r="GM152" s="121"/>
      <c r="GN152" s="121"/>
      <c r="GO152" s="121"/>
      <c r="GP152" s="121"/>
      <c r="GQ152" s="121"/>
      <c r="GR152" s="121"/>
      <c r="GS152" s="121"/>
      <c r="GT152" s="121"/>
      <c r="GU152" s="121"/>
      <c r="GV152" s="121"/>
      <c r="GW152" s="121"/>
      <c r="GX152" s="121"/>
      <c r="GY152" s="121"/>
      <c r="GZ152" s="121"/>
      <c r="HA152" s="121"/>
      <c r="HB152" s="121"/>
      <c r="HC152" s="121"/>
      <c r="HD152" s="121"/>
      <c r="HE152" s="121"/>
      <c r="HF152" s="121"/>
      <c r="HG152" s="121"/>
      <c r="HH152" s="121"/>
      <c r="HI152" s="121"/>
      <c r="HJ152" s="121"/>
      <c r="HK152" s="121"/>
      <c r="HL152" s="121"/>
      <c r="HM152" s="121"/>
      <c r="HN152" s="121"/>
      <c r="HO152" s="121"/>
      <c r="HP152" s="121"/>
      <c r="HQ152" s="121"/>
      <c r="HR152" s="121"/>
      <c r="HS152" s="121"/>
      <c r="HT152" s="121"/>
      <c r="HU152" s="121"/>
      <c r="HV152" s="121"/>
      <c r="HW152" s="121"/>
      <c r="HX152" s="121"/>
      <c r="HY152" s="121"/>
      <c r="HZ152" s="121"/>
      <c r="IA152" s="121"/>
      <c r="IB152" s="121"/>
      <c r="IC152" s="121"/>
      <c r="ID152" s="121"/>
      <c r="IE152" s="121"/>
      <c r="IF152" s="121"/>
      <c r="IG152" s="121"/>
      <c r="IH152" s="121"/>
      <c r="II152" s="121"/>
      <c r="IJ152" s="121"/>
      <c r="IK152" s="121"/>
      <c r="IL152" s="121"/>
      <c r="IM152" s="121"/>
      <c r="IN152" s="121"/>
      <c r="IO152" s="121"/>
      <c r="IP152" s="121"/>
      <c r="IQ152" s="121"/>
      <c r="IR152" s="121"/>
      <c r="IS152" s="121"/>
      <c r="IT152" s="121"/>
      <c r="IU152" s="121"/>
      <c r="IV152" s="121"/>
      <c r="IW152" s="121"/>
      <c r="IX152" s="121"/>
      <c r="IY152" s="121"/>
      <c r="IZ152" s="121"/>
      <c r="JA152" s="121"/>
      <c r="JB152" s="121"/>
      <c r="JC152" s="121"/>
      <c r="JD152" s="121"/>
      <c r="JE152" s="121"/>
      <c r="JF152" s="121"/>
      <c r="JG152" s="121"/>
      <c r="JH152" s="121"/>
      <c r="JI152" s="121"/>
      <c r="JJ152" s="121"/>
      <c r="JK152" s="121"/>
      <c r="JL152" s="121"/>
      <c r="JM152" s="121"/>
      <c r="JN152" s="121"/>
      <c r="JO152" s="121"/>
      <c r="JP152" s="121"/>
      <c r="JQ152" s="121"/>
      <c r="JR152" s="121"/>
      <c r="JS152" s="121"/>
      <c r="JT152" s="121"/>
      <c r="JU152" s="121"/>
      <c r="JV152" s="121"/>
      <c r="JW152" s="121"/>
      <c r="JX152" s="121"/>
      <c r="JY152" s="121"/>
      <c r="JZ152" s="121"/>
      <c r="KA152" s="121"/>
      <c r="KB152" s="121"/>
      <c r="KC152" s="121"/>
      <c r="KD152" s="121"/>
      <c r="KE152" s="121"/>
      <c r="KF152" s="121"/>
      <c r="KG152" s="121"/>
      <c r="KH152" s="121"/>
      <c r="KI152" s="121"/>
      <c r="KJ152" s="121"/>
      <c r="KK152" s="121"/>
      <c r="KL152" s="121"/>
      <c r="KM152" s="121"/>
      <c r="KN152" s="121"/>
      <c r="KO152" s="121"/>
      <c r="KP152" s="121"/>
      <c r="KQ152" s="121"/>
      <c r="KR152" s="121"/>
      <c r="KS152" s="121"/>
      <c r="KT152" s="121"/>
      <c r="KU152" s="121"/>
      <c r="KV152" s="121"/>
      <c r="KW152" s="121"/>
      <c r="KX152" s="121"/>
      <c r="KY152" s="121"/>
      <c r="KZ152" s="121"/>
      <c r="LA152" s="121"/>
      <c r="LB152" s="121"/>
      <c r="LC152" s="121"/>
      <c r="LD152" s="121"/>
      <c r="LE152" s="121"/>
      <c r="LF152" s="121"/>
      <c r="LG152" s="121"/>
      <c r="LH152" s="121"/>
      <c r="LI152" s="121"/>
      <c r="LJ152" s="121"/>
      <c r="LK152" s="121"/>
      <c r="LL152" s="121"/>
      <c r="LM152" s="121"/>
      <c r="LN152" s="121"/>
      <c r="LO152" s="121"/>
      <c r="LP152" s="121"/>
      <c r="LQ152" s="121"/>
      <c r="LR152" s="121"/>
      <c r="LS152" s="121"/>
      <c r="LT152" s="121"/>
      <c r="LU152" s="121"/>
      <c r="LV152" s="121"/>
      <c r="LW152" s="121"/>
      <c r="LX152" s="121"/>
      <c r="LY152" s="121"/>
      <c r="LZ152" s="121"/>
      <c r="MA152" s="121"/>
      <c r="MB152" s="121"/>
      <c r="MC152" s="121"/>
      <c r="MD152" s="121"/>
      <c r="ME152" s="121"/>
      <c r="MF152" s="121"/>
      <c r="MG152" s="121"/>
      <c r="MH152" s="121"/>
      <c r="MI152" s="121"/>
      <c r="MJ152" s="121"/>
      <c r="MK152" s="121"/>
      <c r="ML152" s="121"/>
      <c r="MM152" s="121"/>
      <c r="MN152" s="121"/>
      <c r="MO152" s="121"/>
      <c r="MP152" s="121"/>
      <c r="MQ152" s="121"/>
      <c r="MR152" s="121"/>
      <c r="MS152" s="121"/>
      <c r="MT152" s="121"/>
      <c r="MU152" s="121"/>
      <c r="MV152" s="121"/>
      <c r="MW152" s="121"/>
      <c r="MX152" s="121"/>
      <c r="MY152" s="121"/>
      <c r="MZ152" s="121"/>
      <c r="NA152" s="121"/>
      <c r="NB152" s="121"/>
      <c r="NC152" s="121"/>
      <c r="ND152" s="121"/>
      <c r="NE152" s="121"/>
      <c r="NF152" s="121"/>
      <c r="NG152" s="121"/>
      <c r="NH152" s="121"/>
      <c r="NI152" s="121"/>
      <c r="NJ152" s="121"/>
      <c r="NK152" s="121"/>
      <c r="NL152" s="121"/>
      <c r="NM152" s="121"/>
      <c r="NN152" s="121"/>
      <c r="NO152" s="121"/>
      <c r="NP152" s="121"/>
      <c r="NQ152" s="121"/>
      <c r="NR152" s="121"/>
      <c r="NS152" s="121"/>
      <c r="NT152" s="121"/>
      <c r="NU152" s="121"/>
      <c r="NV152" s="121"/>
      <c r="NW152" s="121"/>
      <c r="NX152" s="121"/>
      <c r="NY152" s="121"/>
      <c r="NZ152" s="121"/>
      <c r="OA152" s="121"/>
      <c r="OB152" s="121"/>
      <c r="OC152" s="121"/>
      <c r="OD152" s="121"/>
      <c r="OE152" s="121"/>
      <c r="OF152" s="121"/>
      <c r="OG152" s="121"/>
      <c r="OH152" s="121"/>
      <c r="OI152" s="121"/>
      <c r="OJ152" s="121"/>
      <c r="OK152" s="121"/>
      <c r="OL152" s="121"/>
      <c r="OM152" s="121"/>
      <c r="ON152" s="121"/>
      <c r="OO152" s="121"/>
      <c r="OP152" s="121"/>
      <c r="OQ152" s="121"/>
      <c r="OR152" s="121"/>
      <c r="OS152" s="121"/>
      <c r="OT152" s="121"/>
      <c r="OU152" s="121"/>
      <c r="OV152" s="121"/>
      <c r="OW152" s="121"/>
      <c r="OX152" s="121"/>
      <c r="OY152" s="121"/>
      <c r="OZ152" s="121"/>
      <c r="PA152" s="121"/>
      <c r="PB152" s="121"/>
      <c r="PC152" s="121"/>
      <c r="PD152" s="121"/>
      <c r="PE152" s="121"/>
      <c r="PF152" s="121"/>
      <c r="PG152" s="121"/>
      <c r="PH152" s="121"/>
      <c r="PI152" s="121"/>
      <c r="PJ152" s="121"/>
      <c r="PK152" s="121"/>
      <c r="PL152" s="121"/>
      <c r="PM152" s="121"/>
      <c r="PN152" s="121"/>
      <c r="PO152" s="121"/>
      <c r="PP152" s="121"/>
      <c r="PQ152" s="121"/>
      <c r="PR152" s="121"/>
      <c r="PS152" s="121"/>
      <c r="PT152" s="121"/>
      <c r="PU152" s="121"/>
      <c r="PV152" s="121"/>
      <c r="PW152" s="121"/>
      <c r="PX152" s="121"/>
      <c r="PY152" s="121"/>
      <c r="PZ152" s="121"/>
      <c r="QA152" s="121"/>
      <c r="QB152" s="121"/>
      <c r="QC152" s="121"/>
      <c r="QD152" s="121"/>
      <c r="QE152" s="121"/>
      <c r="QF152" s="121"/>
      <c r="QG152" s="121"/>
      <c r="QH152" s="121"/>
      <c r="QI152" s="121"/>
      <c r="QJ152" s="121"/>
      <c r="QK152" s="121"/>
      <c r="QL152" s="121"/>
      <c r="QM152" s="121"/>
      <c r="QN152" s="121"/>
      <c r="QO152" s="121"/>
      <c r="QP152" s="121"/>
      <c r="QQ152" s="121"/>
      <c r="QR152" s="121"/>
      <c r="QS152" s="121"/>
      <c r="QT152" s="121"/>
      <c r="QU152" s="121"/>
      <c r="QV152" s="121"/>
      <c r="QW152" s="121"/>
      <c r="QX152" s="121"/>
      <c r="QY152" s="121"/>
      <c r="QZ152" s="121"/>
      <c r="RA152" s="121"/>
      <c r="RB152" s="121"/>
      <c r="RC152" s="121"/>
      <c r="RD152" s="121"/>
      <c r="RE152" s="121"/>
      <c r="RF152" s="121"/>
      <c r="RG152" s="121"/>
      <c r="RH152" s="121"/>
      <c r="RI152" s="121"/>
      <c r="RJ152" s="121"/>
      <c r="RK152" s="121"/>
      <c r="RL152" s="121"/>
      <c r="RM152" s="121"/>
      <c r="RN152" s="121"/>
      <c r="RO152" s="121"/>
      <c r="RP152" s="121"/>
      <c r="RQ152" s="121"/>
      <c r="RR152" s="121"/>
      <c r="RS152" s="121"/>
      <c r="RT152" s="121"/>
      <c r="RU152" s="121"/>
      <c r="RV152" s="121"/>
      <c r="RW152" s="121"/>
      <c r="RX152" s="121"/>
      <c r="RY152" s="121"/>
      <c r="RZ152" s="121"/>
      <c r="SA152" s="121"/>
      <c r="SB152" s="121"/>
      <c r="SC152" s="121"/>
      <c r="SD152" s="121"/>
      <c r="SE152" s="121"/>
      <c r="SF152" s="121"/>
      <c r="SG152" s="121"/>
      <c r="SH152" s="121"/>
      <c r="SI152" s="121"/>
      <c r="SJ152" s="121"/>
      <c r="SK152" s="121"/>
      <c r="SL152" s="121"/>
      <c r="SM152" s="121"/>
      <c r="SN152" s="121"/>
      <c r="SO152" s="121"/>
      <c r="SP152" s="121"/>
      <c r="SQ152" s="121"/>
      <c r="SR152" s="121"/>
      <c r="SS152" s="121"/>
      <c r="ST152" s="121"/>
      <c r="SU152" s="121"/>
      <c r="SV152" s="121"/>
      <c r="SW152" s="121"/>
      <c r="SX152" s="121"/>
      <c r="SY152" s="121"/>
      <c r="SZ152" s="121"/>
      <c r="TA152" s="121"/>
      <c r="TB152" s="121"/>
      <c r="TC152" s="121"/>
      <c r="TD152" s="121"/>
      <c r="TE152" s="121"/>
      <c r="TF152" s="121"/>
      <c r="TG152" s="121"/>
      <c r="TH152" s="121"/>
      <c r="TI152" s="121"/>
      <c r="TJ152" s="121"/>
      <c r="TK152" s="121"/>
      <c r="TL152" s="121"/>
      <c r="TM152" s="121"/>
      <c r="TN152" s="121"/>
      <c r="TO152" s="121"/>
      <c r="TP152" s="121"/>
      <c r="TQ152" s="121"/>
      <c r="TR152" s="121"/>
      <c r="TS152" s="121"/>
      <c r="TT152" s="121"/>
      <c r="TU152" s="121"/>
      <c r="TV152" s="121"/>
      <c r="TW152" s="121"/>
      <c r="TX152" s="121"/>
      <c r="TY152" s="121"/>
      <c r="TZ152" s="121"/>
      <c r="UA152" s="121"/>
      <c r="UB152" s="121"/>
      <c r="UC152" s="121"/>
      <c r="UD152" s="121"/>
      <c r="UE152" s="121"/>
      <c r="UF152" s="121"/>
      <c r="UG152" s="121"/>
      <c r="UH152" s="121"/>
      <c r="UI152" s="121"/>
      <c r="UJ152" s="121"/>
      <c r="UK152" s="121"/>
      <c r="UL152" s="121"/>
      <c r="UM152" s="121"/>
      <c r="UN152" s="121"/>
      <c r="UO152" s="121"/>
      <c r="UP152" s="121"/>
      <c r="UQ152" s="121"/>
      <c r="UR152" s="121"/>
      <c r="US152" s="121"/>
      <c r="UT152" s="121"/>
      <c r="UU152" s="121"/>
      <c r="UV152" s="121"/>
      <c r="UW152" s="121"/>
      <c r="UX152" s="121"/>
      <c r="UY152" s="121"/>
      <c r="UZ152" s="121"/>
      <c r="VA152" s="121"/>
      <c r="VB152" s="121"/>
      <c r="VC152" s="121"/>
      <c r="VD152" s="121"/>
      <c r="VE152" s="121"/>
      <c r="VF152" s="121"/>
      <c r="VG152" s="121"/>
      <c r="VH152" s="121"/>
      <c r="VI152" s="121"/>
      <c r="VJ152" s="121"/>
      <c r="VK152" s="121"/>
      <c r="VL152" s="121"/>
      <c r="VM152" s="121"/>
      <c r="VN152" s="121"/>
      <c r="VO152" s="121"/>
      <c r="VP152" s="121"/>
      <c r="VQ152" s="121"/>
      <c r="VR152" s="121"/>
      <c r="VS152" s="121"/>
      <c r="VT152" s="121"/>
      <c r="VU152" s="121"/>
      <c r="VV152" s="121"/>
      <c r="VW152" s="121"/>
      <c r="VX152" s="121"/>
      <c r="VY152" s="121"/>
      <c r="VZ152" s="121"/>
      <c r="WA152" s="121"/>
      <c r="WB152" s="121"/>
      <c r="WC152" s="121"/>
      <c r="WD152" s="121"/>
      <c r="WE152" s="121"/>
      <c r="WF152" s="121"/>
      <c r="WG152" s="121"/>
      <c r="WH152" s="121"/>
      <c r="WI152" s="121"/>
      <c r="WJ152" s="121"/>
      <c r="WK152" s="121"/>
      <c r="WL152" s="121"/>
      <c r="WM152" s="121"/>
      <c r="WN152" s="121"/>
      <c r="WO152" s="121"/>
      <c r="WP152" s="121"/>
      <c r="WQ152" s="121"/>
      <c r="WR152" s="121"/>
      <c r="WS152" s="121"/>
      <c r="WT152" s="121"/>
      <c r="WU152" s="121"/>
      <c r="WV152" s="121"/>
      <c r="WW152" s="121"/>
      <c r="WX152" s="121"/>
      <c r="WY152" s="121"/>
      <c r="WZ152" s="121"/>
      <c r="XA152" s="121"/>
      <c r="XB152" s="121"/>
      <c r="XC152" s="121"/>
      <c r="XD152" s="121"/>
      <c r="XE152" s="121"/>
      <c r="XF152" s="121"/>
      <c r="XG152" s="121"/>
      <c r="XH152" s="121"/>
      <c r="XI152" s="121"/>
      <c r="XJ152" s="121"/>
      <c r="XK152" s="121"/>
      <c r="XL152" s="121"/>
      <c r="XM152" s="121"/>
      <c r="XN152" s="121"/>
      <c r="XO152" s="121"/>
      <c r="XP152" s="121"/>
      <c r="XQ152" s="121"/>
      <c r="XR152" s="121"/>
      <c r="XS152" s="121"/>
      <c r="XT152" s="121"/>
      <c r="XU152" s="121"/>
      <c r="XV152" s="121"/>
      <c r="XW152" s="121"/>
      <c r="XX152" s="121"/>
      <c r="XY152" s="121"/>
      <c r="XZ152" s="121"/>
      <c r="YA152" s="121"/>
      <c r="YB152" s="121"/>
      <c r="YC152" s="121"/>
      <c r="YD152" s="121"/>
      <c r="YE152" s="121"/>
      <c r="YF152" s="121"/>
      <c r="YG152" s="121"/>
      <c r="YH152" s="121"/>
      <c r="YI152" s="121"/>
      <c r="YJ152" s="121"/>
      <c r="YK152" s="121"/>
      <c r="YL152" s="121"/>
      <c r="YM152" s="121"/>
      <c r="YN152" s="121"/>
      <c r="YO152" s="121"/>
      <c r="YP152" s="121"/>
      <c r="YQ152" s="121"/>
      <c r="YR152" s="121"/>
      <c r="YS152" s="121"/>
      <c r="YT152" s="121"/>
      <c r="YU152" s="121"/>
      <c r="YV152" s="121"/>
      <c r="YW152" s="121"/>
      <c r="YX152" s="121"/>
      <c r="YY152" s="121"/>
      <c r="YZ152" s="121"/>
      <c r="ZA152" s="121"/>
      <c r="ZB152" s="121"/>
      <c r="ZC152" s="121"/>
      <c r="ZD152" s="121"/>
      <c r="ZE152" s="121"/>
      <c r="ZF152" s="121"/>
      <c r="ZG152" s="121"/>
      <c r="ZH152" s="121"/>
      <c r="ZI152" s="121"/>
      <c r="ZJ152" s="121"/>
      <c r="ZK152" s="121"/>
      <c r="ZL152" s="121"/>
      <c r="ZM152" s="121"/>
      <c r="ZN152" s="121"/>
      <c r="ZO152" s="121"/>
      <c r="ZP152" s="121"/>
      <c r="ZQ152" s="121"/>
      <c r="ZR152" s="121"/>
      <c r="ZS152" s="121"/>
      <c r="ZT152" s="121"/>
      <c r="ZU152" s="121"/>
      <c r="ZV152" s="121"/>
      <c r="ZW152" s="121"/>
      <c r="ZX152" s="121"/>
      <c r="ZY152" s="121"/>
      <c r="ZZ152" s="121"/>
      <c r="AAA152" s="121"/>
      <c r="AAB152" s="121"/>
      <c r="AAC152" s="121"/>
      <c r="AAD152" s="121"/>
      <c r="AAE152" s="121"/>
      <c r="AAF152" s="121"/>
      <c r="AAG152" s="121"/>
      <c r="AAH152" s="121"/>
      <c r="AAI152" s="121"/>
      <c r="AAJ152" s="121"/>
      <c r="AAK152" s="121"/>
      <c r="AAL152" s="121"/>
      <c r="AAM152" s="121"/>
      <c r="AAN152" s="121"/>
      <c r="AAO152" s="121"/>
      <c r="AAP152" s="121"/>
      <c r="AAQ152" s="121"/>
      <c r="AAR152" s="121"/>
      <c r="AAS152" s="121"/>
      <c r="AAT152" s="121"/>
      <c r="AAU152" s="121"/>
      <c r="AAV152" s="121"/>
      <c r="AAW152" s="121"/>
      <c r="AAX152" s="121"/>
      <c r="AAY152" s="121"/>
      <c r="AAZ152" s="121"/>
      <c r="ABA152" s="121"/>
      <c r="ABB152" s="121"/>
      <c r="ABC152" s="121"/>
      <c r="ABD152" s="121"/>
      <c r="ABE152" s="121"/>
      <c r="ABF152" s="121"/>
      <c r="ABG152" s="121"/>
      <c r="ABH152" s="121"/>
      <c r="ABI152" s="121"/>
      <c r="ABJ152" s="121"/>
      <c r="ABK152" s="121"/>
      <c r="ABL152" s="121"/>
      <c r="ABM152" s="121"/>
      <c r="ABN152" s="121"/>
      <c r="ABO152" s="121"/>
      <c r="ABP152" s="121"/>
      <c r="ABQ152" s="121"/>
      <c r="ABR152" s="121"/>
      <c r="ABS152" s="121"/>
      <c r="ABT152" s="121"/>
      <c r="ABU152" s="121"/>
      <c r="ABV152" s="121"/>
      <c r="ABW152" s="121"/>
      <c r="ABX152" s="121"/>
      <c r="ABY152" s="121"/>
      <c r="ABZ152" s="121"/>
      <c r="ACA152" s="121"/>
      <c r="ACB152" s="121"/>
      <c r="ACC152" s="121"/>
      <c r="ACD152" s="121"/>
      <c r="ACE152" s="121"/>
      <c r="ACF152" s="121"/>
      <c r="ACG152" s="121"/>
      <c r="ACH152" s="121"/>
      <c r="ACI152" s="121"/>
      <c r="ACJ152" s="121"/>
      <c r="ACK152" s="121"/>
      <c r="ACL152" s="121"/>
      <c r="ACM152" s="121"/>
      <c r="ACN152" s="121"/>
      <c r="ACO152" s="121"/>
      <c r="ACP152" s="121"/>
      <c r="ACQ152" s="121"/>
      <c r="ACR152" s="121"/>
      <c r="ACS152" s="121"/>
      <c r="ACT152" s="121"/>
      <c r="ACU152" s="121"/>
      <c r="ACV152" s="121"/>
      <c r="ACW152" s="121"/>
      <c r="ACX152" s="121"/>
      <c r="ACY152" s="121"/>
      <c r="ACZ152" s="121"/>
      <c r="ADA152" s="121"/>
      <c r="ADB152" s="121"/>
      <c r="ADC152" s="121"/>
      <c r="ADD152" s="121"/>
      <c r="ADE152" s="121"/>
      <c r="ADF152" s="121"/>
      <c r="ADG152" s="121"/>
      <c r="ADH152" s="121"/>
      <c r="ADI152" s="121"/>
      <c r="ADJ152" s="121"/>
      <c r="ADK152" s="121"/>
      <c r="ADL152" s="121"/>
      <c r="ADM152" s="121"/>
      <c r="ADN152" s="121"/>
      <c r="ADO152" s="121"/>
      <c r="ADP152" s="121"/>
      <c r="ADQ152" s="121"/>
      <c r="ADR152" s="121"/>
      <c r="ADS152" s="121"/>
      <c r="ADT152" s="121"/>
      <c r="ADU152" s="121"/>
      <c r="ADV152" s="121"/>
      <c r="ADW152" s="121"/>
      <c r="ADX152" s="121"/>
      <c r="ADY152" s="121"/>
      <c r="ADZ152" s="121"/>
      <c r="AEA152" s="121"/>
      <c r="AEB152" s="121"/>
      <c r="AEC152" s="121"/>
      <c r="AED152" s="121"/>
      <c r="AEE152" s="121"/>
      <c r="AEF152" s="121"/>
      <c r="AEG152" s="121"/>
      <c r="AEH152" s="121"/>
      <c r="AEI152" s="121"/>
      <c r="AEJ152" s="121"/>
      <c r="AEK152" s="121"/>
      <c r="AEL152" s="121"/>
      <c r="AEM152" s="121"/>
      <c r="AEN152" s="121"/>
      <c r="AEO152" s="121"/>
      <c r="AEP152" s="121"/>
      <c r="AEQ152" s="121"/>
      <c r="AER152" s="121"/>
      <c r="AES152" s="121"/>
      <c r="AET152" s="121"/>
      <c r="AEU152" s="121"/>
      <c r="AEV152" s="121"/>
      <c r="AEW152" s="121"/>
      <c r="AEX152" s="121"/>
      <c r="AEY152" s="121"/>
      <c r="AEZ152" s="121"/>
      <c r="AFA152" s="121"/>
      <c r="AFB152" s="121"/>
      <c r="AFC152" s="121"/>
      <c r="AFD152" s="121"/>
      <c r="AFE152" s="121"/>
      <c r="AFF152" s="121"/>
      <c r="AFG152" s="121"/>
      <c r="AFH152" s="121"/>
      <c r="AFI152" s="121"/>
      <c r="AFJ152" s="121"/>
      <c r="AFK152" s="121"/>
      <c r="AFL152" s="121"/>
      <c r="AFM152" s="121"/>
      <c r="AFN152" s="121"/>
      <c r="AFO152" s="121"/>
      <c r="AFP152" s="121"/>
      <c r="AFQ152" s="121"/>
      <c r="AFR152" s="121"/>
      <c r="AFS152" s="121"/>
      <c r="AFT152" s="121"/>
      <c r="AFU152" s="121"/>
      <c r="AFV152" s="121"/>
      <c r="AFW152" s="121"/>
      <c r="AFX152" s="121"/>
      <c r="AFY152" s="121"/>
      <c r="AFZ152" s="121"/>
      <c r="AGA152" s="121"/>
      <c r="AGB152" s="121"/>
      <c r="AGC152" s="121"/>
      <c r="AGD152" s="121"/>
      <c r="AGE152" s="121"/>
    </row>
    <row r="153" spans="1:863" s="189" customFormat="1" ht="15.75" customHeight="1" x14ac:dyDescent="0.25">
      <c r="A153" s="390">
        <v>43374</v>
      </c>
      <c r="B153" s="357" t="s">
        <v>120</v>
      </c>
      <c r="C153" s="187" t="s">
        <v>31</v>
      </c>
      <c r="D153" s="187" t="s">
        <v>30</v>
      </c>
      <c r="E153" s="187" t="s">
        <v>81</v>
      </c>
      <c r="F153" s="187">
        <v>85</v>
      </c>
      <c r="G153" s="187">
        <v>108</v>
      </c>
      <c r="H153" s="493"/>
      <c r="I153" s="187">
        <v>1101</v>
      </c>
      <c r="J153" s="187"/>
      <c r="K153" s="310" t="s">
        <v>397</v>
      </c>
      <c r="L153" s="311" t="s">
        <v>395</v>
      </c>
      <c r="M153" s="241"/>
      <c r="N153" s="90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1"/>
      <c r="BK153" s="121"/>
      <c r="BL153" s="121"/>
      <c r="BM153" s="121"/>
      <c r="BN153" s="121"/>
      <c r="BO153" s="121"/>
      <c r="BP153" s="121"/>
      <c r="BQ153" s="121"/>
      <c r="BR153" s="121"/>
      <c r="BS153" s="121"/>
      <c r="BT153" s="121"/>
      <c r="BU153" s="121"/>
      <c r="BV153" s="121"/>
      <c r="BW153" s="121"/>
      <c r="BX153" s="121"/>
      <c r="BY153" s="121"/>
      <c r="BZ153" s="121"/>
      <c r="CA153" s="121"/>
      <c r="CB153" s="121"/>
      <c r="CC153" s="121"/>
      <c r="CD153" s="121"/>
      <c r="CE153" s="121"/>
      <c r="CF153" s="121"/>
      <c r="CG153" s="121"/>
      <c r="CH153" s="121"/>
      <c r="CI153" s="121"/>
      <c r="CJ153" s="121"/>
      <c r="CK153" s="121"/>
      <c r="CL153" s="121"/>
      <c r="CM153" s="121"/>
      <c r="CN153" s="121"/>
      <c r="CO153" s="121"/>
      <c r="CP153" s="121"/>
      <c r="CQ153" s="121"/>
      <c r="CR153" s="121"/>
      <c r="CS153" s="121"/>
      <c r="CT153" s="121"/>
      <c r="CU153" s="121"/>
      <c r="CV153" s="121"/>
      <c r="CW153" s="121"/>
      <c r="CX153" s="121"/>
      <c r="CY153" s="121"/>
      <c r="CZ153" s="121"/>
      <c r="DA153" s="121"/>
      <c r="DB153" s="121"/>
      <c r="DC153" s="121"/>
      <c r="DD153" s="121"/>
      <c r="DE153" s="121"/>
      <c r="DF153" s="121"/>
      <c r="DG153" s="121"/>
      <c r="DH153" s="121"/>
      <c r="DI153" s="121"/>
      <c r="DJ153" s="121"/>
      <c r="DK153" s="121"/>
      <c r="DL153" s="121"/>
      <c r="DM153" s="121"/>
      <c r="DN153" s="121"/>
      <c r="DO153" s="121"/>
      <c r="DP153" s="121"/>
      <c r="DQ153" s="121"/>
      <c r="DR153" s="121"/>
      <c r="DS153" s="121"/>
      <c r="DT153" s="121"/>
      <c r="DU153" s="121"/>
      <c r="DV153" s="121"/>
      <c r="DW153" s="121"/>
      <c r="DX153" s="121"/>
      <c r="DY153" s="121"/>
      <c r="DZ153" s="121"/>
      <c r="EA153" s="121"/>
      <c r="EB153" s="121"/>
      <c r="EC153" s="121"/>
      <c r="ED153" s="121"/>
      <c r="EE153" s="121"/>
      <c r="EF153" s="121"/>
      <c r="EG153" s="121"/>
      <c r="EH153" s="121"/>
      <c r="EI153" s="121"/>
      <c r="EJ153" s="121"/>
      <c r="EK153" s="121"/>
      <c r="EL153" s="121"/>
      <c r="EM153" s="121"/>
      <c r="EN153" s="121"/>
      <c r="EO153" s="121"/>
      <c r="EP153" s="121"/>
      <c r="EQ153" s="121"/>
      <c r="ER153" s="121"/>
      <c r="ES153" s="121"/>
      <c r="ET153" s="121"/>
      <c r="EU153" s="121"/>
      <c r="EV153" s="121"/>
      <c r="EW153" s="121"/>
      <c r="EX153" s="121"/>
      <c r="EY153" s="121"/>
      <c r="EZ153" s="121"/>
      <c r="FA153" s="121"/>
      <c r="FB153" s="121"/>
      <c r="FC153" s="121"/>
      <c r="FD153" s="121"/>
      <c r="FE153" s="121"/>
      <c r="FF153" s="121"/>
      <c r="FG153" s="121"/>
      <c r="FH153" s="121"/>
      <c r="FI153" s="121"/>
      <c r="FJ153" s="121"/>
      <c r="FK153" s="121"/>
      <c r="FL153" s="121"/>
      <c r="FM153" s="121"/>
      <c r="FN153" s="121"/>
      <c r="FO153" s="121"/>
      <c r="FP153" s="121"/>
      <c r="FQ153" s="121"/>
      <c r="FR153" s="121"/>
      <c r="FS153" s="121"/>
      <c r="FT153" s="121"/>
      <c r="FU153" s="121"/>
      <c r="FV153" s="121"/>
      <c r="FW153" s="121"/>
      <c r="FX153" s="121"/>
      <c r="FY153" s="121"/>
      <c r="FZ153" s="121"/>
      <c r="GA153" s="121"/>
      <c r="GB153" s="121"/>
      <c r="GC153" s="121"/>
      <c r="GD153" s="121"/>
      <c r="GE153" s="121"/>
      <c r="GF153" s="121"/>
      <c r="GG153" s="121"/>
      <c r="GH153" s="121"/>
      <c r="GI153" s="121"/>
      <c r="GJ153" s="121"/>
      <c r="GK153" s="121"/>
      <c r="GL153" s="121"/>
      <c r="GM153" s="121"/>
      <c r="GN153" s="121"/>
      <c r="GO153" s="121"/>
      <c r="GP153" s="121"/>
      <c r="GQ153" s="121"/>
      <c r="GR153" s="121"/>
      <c r="GS153" s="121"/>
      <c r="GT153" s="121"/>
      <c r="GU153" s="121"/>
      <c r="GV153" s="121"/>
      <c r="GW153" s="121"/>
      <c r="GX153" s="121"/>
      <c r="GY153" s="121"/>
      <c r="GZ153" s="121"/>
      <c r="HA153" s="121"/>
      <c r="HB153" s="121"/>
      <c r="HC153" s="121"/>
      <c r="HD153" s="121"/>
      <c r="HE153" s="121"/>
      <c r="HF153" s="121"/>
      <c r="HG153" s="121"/>
      <c r="HH153" s="121"/>
      <c r="HI153" s="121"/>
      <c r="HJ153" s="121"/>
      <c r="HK153" s="121"/>
      <c r="HL153" s="121"/>
      <c r="HM153" s="121"/>
      <c r="HN153" s="121"/>
      <c r="HO153" s="121"/>
      <c r="HP153" s="121"/>
      <c r="HQ153" s="121"/>
      <c r="HR153" s="121"/>
      <c r="HS153" s="121"/>
      <c r="HT153" s="121"/>
      <c r="HU153" s="121"/>
      <c r="HV153" s="121"/>
      <c r="HW153" s="121"/>
      <c r="HX153" s="121"/>
      <c r="HY153" s="121"/>
      <c r="HZ153" s="121"/>
      <c r="IA153" s="121"/>
      <c r="IB153" s="121"/>
      <c r="IC153" s="121"/>
      <c r="ID153" s="121"/>
      <c r="IE153" s="121"/>
      <c r="IF153" s="121"/>
      <c r="IG153" s="121"/>
      <c r="IH153" s="121"/>
      <c r="II153" s="121"/>
      <c r="IJ153" s="121"/>
      <c r="IK153" s="121"/>
      <c r="IL153" s="121"/>
      <c r="IM153" s="121"/>
      <c r="IN153" s="121"/>
      <c r="IO153" s="121"/>
      <c r="IP153" s="121"/>
      <c r="IQ153" s="121"/>
      <c r="IR153" s="121"/>
      <c r="IS153" s="121"/>
      <c r="IT153" s="121"/>
      <c r="IU153" s="121"/>
      <c r="IV153" s="121"/>
      <c r="IW153" s="121"/>
      <c r="IX153" s="121"/>
      <c r="IY153" s="121"/>
      <c r="IZ153" s="121"/>
      <c r="JA153" s="121"/>
      <c r="JB153" s="121"/>
      <c r="JC153" s="121"/>
      <c r="JD153" s="121"/>
      <c r="JE153" s="121"/>
      <c r="JF153" s="121"/>
      <c r="JG153" s="121"/>
      <c r="JH153" s="121"/>
      <c r="JI153" s="121"/>
      <c r="JJ153" s="121"/>
      <c r="JK153" s="121"/>
      <c r="JL153" s="121"/>
      <c r="JM153" s="121"/>
      <c r="JN153" s="121"/>
      <c r="JO153" s="121"/>
      <c r="JP153" s="121"/>
      <c r="JQ153" s="121"/>
      <c r="JR153" s="121"/>
      <c r="JS153" s="121"/>
      <c r="JT153" s="121"/>
      <c r="JU153" s="121"/>
      <c r="JV153" s="121"/>
      <c r="JW153" s="121"/>
      <c r="JX153" s="121"/>
      <c r="JY153" s="121"/>
      <c r="JZ153" s="121"/>
      <c r="KA153" s="121"/>
      <c r="KB153" s="121"/>
      <c r="KC153" s="121"/>
      <c r="KD153" s="121"/>
      <c r="KE153" s="121"/>
      <c r="KF153" s="121"/>
      <c r="KG153" s="121"/>
      <c r="KH153" s="121"/>
      <c r="KI153" s="121"/>
      <c r="KJ153" s="121"/>
      <c r="KK153" s="121"/>
      <c r="KL153" s="121"/>
      <c r="KM153" s="121"/>
      <c r="KN153" s="121"/>
      <c r="KO153" s="121"/>
      <c r="KP153" s="121"/>
      <c r="KQ153" s="121"/>
      <c r="KR153" s="121"/>
      <c r="KS153" s="121"/>
      <c r="KT153" s="121"/>
      <c r="KU153" s="121"/>
      <c r="KV153" s="121"/>
      <c r="KW153" s="121"/>
      <c r="KX153" s="121"/>
      <c r="KY153" s="121"/>
      <c r="KZ153" s="121"/>
      <c r="LA153" s="121"/>
      <c r="LB153" s="121"/>
      <c r="LC153" s="121"/>
      <c r="LD153" s="121"/>
      <c r="LE153" s="121"/>
      <c r="LF153" s="121"/>
      <c r="LG153" s="121"/>
      <c r="LH153" s="121"/>
      <c r="LI153" s="121"/>
      <c r="LJ153" s="121"/>
      <c r="LK153" s="121"/>
      <c r="LL153" s="121"/>
      <c r="LM153" s="121"/>
      <c r="LN153" s="121"/>
      <c r="LO153" s="121"/>
      <c r="LP153" s="121"/>
      <c r="LQ153" s="121"/>
      <c r="LR153" s="121"/>
      <c r="LS153" s="121"/>
      <c r="LT153" s="121"/>
      <c r="LU153" s="121"/>
      <c r="LV153" s="121"/>
      <c r="LW153" s="121"/>
      <c r="LX153" s="121"/>
      <c r="LY153" s="121"/>
      <c r="LZ153" s="121"/>
      <c r="MA153" s="121"/>
      <c r="MB153" s="121"/>
      <c r="MC153" s="121"/>
      <c r="MD153" s="121"/>
      <c r="ME153" s="121"/>
      <c r="MF153" s="121"/>
      <c r="MG153" s="121"/>
      <c r="MH153" s="121"/>
      <c r="MI153" s="121"/>
      <c r="MJ153" s="121"/>
      <c r="MK153" s="121"/>
      <c r="ML153" s="121"/>
      <c r="MM153" s="121"/>
      <c r="MN153" s="121"/>
      <c r="MO153" s="121"/>
      <c r="MP153" s="121"/>
      <c r="MQ153" s="121"/>
      <c r="MR153" s="121"/>
      <c r="MS153" s="121"/>
      <c r="MT153" s="121"/>
      <c r="MU153" s="121"/>
      <c r="MV153" s="121"/>
      <c r="MW153" s="121"/>
      <c r="MX153" s="121"/>
      <c r="MY153" s="121"/>
      <c r="MZ153" s="121"/>
      <c r="NA153" s="121"/>
      <c r="NB153" s="121"/>
      <c r="NC153" s="121"/>
      <c r="ND153" s="121"/>
      <c r="NE153" s="121"/>
      <c r="NF153" s="121"/>
      <c r="NG153" s="121"/>
      <c r="NH153" s="121"/>
      <c r="NI153" s="121"/>
      <c r="NJ153" s="121"/>
      <c r="NK153" s="121"/>
      <c r="NL153" s="121"/>
      <c r="NM153" s="121"/>
      <c r="NN153" s="121"/>
      <c r="NO153" s="121"/>
      <c r="NP153" s="121"/>
      <c r="NQ153" s="121"/>
      <c r="NR153" s="121"/>
      <c r="NS153" s="121"/>
      <c r="NT153" s="121"/>
      <c r="NU153" s="121"/>
      <c r="NV153" s="121"/>
      <c r="NW153" s="121"/>
      <c r="NX153" s="121"/>
      <c r="NY153" s="121"/>
      <c r="NZ153" s="121"/>
      <c r="OA153" s="121"/>
      <c r="OB153" s="121"/>
      <c r="OC153" s="121"/>
      <c r="OD153" s="121"/>
      <c r="OE153" s="121"/>
      <c r="OF153" s="121"/>
      <c r="OG153" s="121"/>
      <c r="OH153" s="121"/>
      <c r="OI153" s="121"/>
      <c r="OJ153" s="121"/>
      <c r="OK153" s="121"/>
      <c r="OL153" s="121"/>
      <c r="OM153" s="121"/>
      <c r="ON153" s="121"/>
      <c r="OO153" s="121"/>
      <c r="OP153" s="121"/>
      <c r="OQ153" s="121"/>
      <c r="OR153" s="121"/>
      <c r="OS153" s="121"/>
      <c r="OT153" s="121"/>
      <c r="OU153" s="121"/>
      <c r="OV153" s="121"/>
      <c r="OW153" s="121"/>
      <c r="OX153" s="121"/>
      <c r="OY153" s="121"/>
      <c r="OZ153" s="121"/>
      <c r="PA153" s="121"/>
      <c r="PB153" s="121"/>
      <c r="PC153" s="121"/>
      <c r="PD153" s="121"/>
      <c r="PE153" s="121"/>
      <c r="PF153" s="121"/>
      <c r="PG153" s="121"/>
      <c r="PH153" s="121"/>
      <c r="PI153" s="121"/>
      <c r="PJ153" s="121"/>
      <c r="PK153" s="121"/>
      <c r="PL153" s="121"/>
      <c r="PM153" s="121"/>
      <c r="PN153" s="121"/>
      <c r="PO153" s="121"/>
      <c r="PP153" s="121"/>
      <c r="PQ153" s="121"/>
      <c r="PR153" s="121"/>
      <c r="PS153" s="121"/>
      <c r="PT153" s="121"/>
      <c r="PU153" s="121"/>
      <c r="PV153" s="121"/>
      <c r="PW153" s="121"/>
      <c r="PX153" s="121"/>
      <c r="PY153" s="121"/>
      <c r="PZ153" s="121"/>
      <c r="QA153" s="121"/>
      <c r="QB153" s="121"/>
      <c r="QC153" s="121"/>
      <c r="QD153" s="121"/>
      <c r="QE153" s="121"/>
      <c r="QF153" s="121"/>
      <c r="QG153" s="121"/>
      <c r="QH153" s="121"/>
      <c r="QI153" s="121"/>
      <c r="QJ153" s="121"/>
      <c r="QK153" s="121"/>
      <c r="QL153" s="121"/>
      <c r="QM153" s="121"/>
      <c r="QN153" s="121"/>
      <c r="QO153" s="121"/>
      <c r="QP153" s="121"/>
      <c r="QQ153" s="121"/>
      <c r="QR153" s="121"/>
      <c r="QS153" s="121"/>
      <c r="QT153" s="121"/>
      <c r="QU153" s="121"/>
      <c r="QV153" s="121"/>
      <c r="QW153" s="121"/>
      <c r="QX153" s="121"/>
      <c r="QY153" s="121"/>
      <c r="QZ153" s="121"/>
      <c r="RA153" s="121"/>
      <c r="RB153" s="121"/>
      <c r="RC153" s="121"/>
      <c r="RD153" s="121"/>
      <c r="RE153" s="121"/>
      <c r="RF153" s="121"/>
      <c r="RG153" s="121"/>
      <c r="RH153" s="121"/>
      <c r="RI153" s="121"/>
      <c r="RJ153" s="121"/>
      <c r="RK153" s="121"/>
      <c r="RL153" s="121"/>
      <c r="RM153" s="121"/>
      <c r="RN153" s="121"/>
      <c r="RO153" s="121"/>
      <c r="RP153" s="121"/>
      <c r="RQ153" s="121"/>
      <c r="RR153" s="121"/>
      <c r="RS153" s="121"/>
      <c r="RT153" s="121"/>
      <c r="RU153" s="121"/>
      <c r="RV153" s="121"/>
      <c r="RW153" s="121"/>
      <c r="RX153" s="121"/>
      <c r="RY153" s="121"/>
      <c r="RZ153" s="121"/>
      <c r="SA153" s="121"/>
      <c r="SB153" s="121"/>
      <c r="SC153" s="121"/>
      <c r="SD153" s="121"/>
      <c r="SE153" s="121"/>
      <c r="SF153" s="121"/>
      <c r="SG153" s="121"/>
      <c r="SH153" s="121"/>
      <c r="SI153" s="121"/>
      <c r="SJ153" s="121"/>
      <c r="SK153" s="121"/>
      <c r="SL153" s="121"/>
      <c r="SM153" s="121"/>
      <c r="SN153" s="121"/>
      <c r="SO153" s="121"/>
      <c r="SP153" s="121"/>
      <c r="SQ153" s="121"/>
      <c r="SR153" s="121"/>
      <c r="SS153" s="121"/>
      <c r="ST153" s="121"/>
      <c r="SU153" s="121"/>
      <c r="SV153" s="121"/>
      <c r="SW153" s="121"/>
      <c r="SX153" s="121"/>
      <c r="SY153" s="121"/>
      <c r="SZ153" s="121"/>
      <c r="TA153" s="121"/>
      <c r="TB153" s="121"/>
      <c r="TC153" s="121"/>
      <c r="TD153" s="121"/>
      <c r="TE153" s="121"/>
      <c r="TF153" s="121"/>
      <c r="TG153" s="121"/>
      <c r="TH153" s="121"/>
      <c r="TI153" s="121"/>
      <c r="TJ153" s="121"/>
      <c r="TK153" s="121"/>
      <c r="TL153" s="121"/>
      <c r="TM153" s="121"/>
      <c r="TN153" s="121"/>
      <c r="TO153" s="121"/>
      <c r="TP153" s="121"/>
      <c r="TQ153" s="121"/>
      <c r="TR153" s="121"/>
      <c r="TS153" s="121"/>
      <c r="TT153" s="121"/>
      <c r="TU153" s="121"/>
      <c r="TV153" s="121"/>
      <c r="TW153" s="121"/>
      <c r="TX153" s="121"/>
      <c r="TY153" s="121"/>
      <c r="TZ153" s="121"/>
      <c r="UA153" s="121"/>
      <c r="UB153" s="121"/>
      <c r="UC153" s="121"/>
      <c r="UD153" s="121"/>
      <c r="UE153" s="121"/>
      <c r="UF153" s="121"/>
      <c r="UG153" s="121"/>
      <c r="UH153" s="121"/>
      <c r="UI153" s="121"/>
      <c r="UJ153" s="121"/>
      <c r="UK153" s="121"/>
      <c r="UL153" s="121"/>
      <c r="UM153" s="121"/>
      <c r="UN153" s="121"/>
      <c r="UO153" s="121"/>
      <c r="UP153" s="121"/>
      <c r="UQ153" s="121"/>
      <c r="UR153" s="121"/>
      <c r="US153" s="121"/>
      <c r="UT153" s="121"/>
      <c r="UU153" s="121"/>
      <c r="UV153" s="121"/>
      <c r="UW153" s="121"/>
      <c r="UX153" s="121"/>
      <c r="UY153" s="121"/>
      <c r="UZ153" s="121"/>
      <c r="VA153" s="121"/>
      <c r="VB153" s="121"/>
      <c r="VC153" s="121"/>
      <c r="VD153" s="121"/>
      <c r="VE153" s="121"/>
      <c r="VF153" s="121"/>
      <c r="VG153" s="121"/>
      <c r="VH153" s="121"/>
      <c r="VI153" s="121"/>
      <c r="VJ153" s="121"/>
      <c r="VK153" s="121"/>
      <c r="VL153" s="121"/>
      <c r="VM153" s="121"/>
      <c r="VN153" s="121"/>
      <c r="VO153" s="121"/>
      <c r="VP153" s="121"/>
      <c r="VQ153" s="121"/>
      <c r="VR153" s="121"/>
      <c r="VS153" s="121"/>
      <c r="VT153" s="121"/>
      <c r="VU153" s="121"/>
      <c r="VV153" s="121"/>
      <c r="VW153" s="121"/>
      <c r="VX153" s="121"/>
      <c r="VY153" s="121"/>
      <c r="VZ153" s="121"/>
      <c r="WA153" s="121"/>
      <c r="WB153" s="121"/>
      <c r="WC153" s="121"/>
      <c r="WD153" s="121"/>
      <c r="WE153" s="121"/>
      <c r="WF153" s="121"/>
      <c r="WG153" s="121"/>
      <c r="WH153" s="121"/>
      <c r="WI153" s="121"/>
      <c r="WJ153" s="121"/>
      <c r="WK153" s="121"/>
      <c r="WL153" s="121"/>
      <c r="WM153" s="121"/>
      <c r="WN153" s="121"/>
      <c r="WO153" s="121"/>
      <c r="WP153" s="121"/>
      <c r="WQ153" s="121"/>
      <c r="WR153" s="121"/>
      <c r="WS153" s="121"/>
      <c r="WT153" s="121"/>
      <c r="WU153" s="121"/>
      <c r="WV153" s="121"/>
      <c r="WW153" s="121"/>
      <c r="WX153" s="121"/>
      <c r="WY153" s="121"/>
      <c r="WZ153" s="121"/>
      <c r="XA153" s="121"/>
      <c r="XB153" s="121"/>
      <c r="XC153" s="121"/>
      <c r="XD153" s="121"/>
      <c r="XE153" s="121"/>
      <c r="XF153" s="121"/>
      <c r="XG153" s="121"/>
      <c r="XH153" s="121"/>
      <c r="XI153" s="121"/>
      <c r="XJ153" s="121"/>
      <c r="XK153" s="121"/>
      <c r="XL153" s="121"/>
      <c r="XM153" s="121"/>
      <c r="XN153" s="121"/>
      <c r="XO153" s="121"/>
      <c r="XP153" s="121"/>
      <c r="XQ153" s="121"/>
      <c r="XR153" s="121"/>
      <c r="XS153" s="121"/>
      <c r="XT153" s="121"/>
      <c r="XU153" s="121"/>
      <c r="XV153" s="121"/>
      <c r="XW153" s="121"/>
      <c r="XX153" s="121"/>
      <c r="XY153" s="121"/>
      <c r="XZ153" s="121"/>
      <c r="YA153" s="121"/>
      <c r="YB153" s="121"/>
      <c r="YC153" s="121"/>
      <c r="YD153" s="121"/>
      <c r="YE153" s="121"/>
      <c r="YF153" s="121"/>
      <c r="YG153" s="121"/>
      <c r="YH153" s="121"/>
      <c r="YI153" s="121"/>
      <c r="YJ153" s="121"/>
      <c r="YK153" s="121"/>
      <c r="YL153" s="121"/>
      <c r="YM153" s="121"/>
      <c r="YN153" s="121"/>
      <c r="YO153" s="121"/>
      <c r="YP153" s="121"/>
      <c r="YQ153" s="121"/>
      <c r="YR153" s="121"/>
      <c r="YS153" s="121"/>
      <c r="YT153" s="121"/>
      <c r="YU153" s="121"/>
      <c r="YV153" s="121"/>
      <c r="YW153" s="121"/>
      <c r="YX153" s="121"/>
      <c r="YY153" s="121"/>
      <c r="YZ153" s="121"/>
      <c r="ZA153" s="121"/>
      <c r="ZB153" s="121"/>
      <c r="ZC153" s="121"/>
      <c r="ZD153" s="121"/>
      <c r="ZE153" s="121"/>
      <c r="ZF153" s="121"/>
      <c r="ZG153" s="121"/>
      <c r="ZH153" s="121"/>
      <c r="ZI153" s="121"/>
      <c r="ZJ153" s="121"/>
      <c r="ZK153" s="121"/>
      <c r="ZL153" s="121"/>
      <c r="ZM153" s="121"/>
      <c r="ZN153" s="121"/>
      <c r="ZO153" s="121"/>
      <c r="ZP153" s="121"/>
      <c r="ZQ153" s="121"/>
      <c r="ZR153" s="121"/>
      <c r="ZS153" s="121"/>
      <c r="ZT153" s="121"/>
      <c r="ZU153" s="121"/>
      <c r="ZV153" s="121"/>
      <c r="ZW153" s="121"/>
      <c r="ZX153" s="121"/>
      <c r="ZY153" s="121"/>
      <c r="ZZ153" s="121"/>
      <c r="AAA153" s="121"/>
      <c r="AAB153" s="121"/>
      <c r="AAC153" s="121"/>
      <c r="AAD153" s="121"/>
      <c r="AAE153" s="121"/>
      <c r="AAF153" s="121"/>
      <c r="AAG153" s="121"/>
      <c r="AAH153" s="121"/>
      <c r="AAI153" s="121"/>
      <c r="AAJ153" s="121"/>
      <c r="AAK153" s="121"/>
      <c r="AAL153" s="121"/>
      <c r="AAM153" s="121"/>
      <c r="AAN153" s="121"/>
      <c r="AAO153" s="121"/>
      <c r="AAP153" s="121"/>
      <c r="AAQ153" s="121"/>
      <c r="AAR153" s="121"/>
      <c r="AAS153" s="121"/>
      <c r="AAT153" s="121"/>
      <c r="AAU153" s="121"/>
      <c r="AAV153" s="121"/>
      <c r="AAW153" s="121"/>
      <c r="AAX153" s="121"/>
      <c r="AAY153" s="121"/>
      <c r="AAZ153" s="121"/>
      <c r="ABA153" s="121"/>
      <c r="ABB153" s="121"/>
      <c r="ABC153" s="121"/>
      <c r="ABD153" s="121"/>
      <c r="ABE153" s="121"/>
      <c r="ABF153" s="121"/>
      <c r="ABG153" s="121"/>
      <c r="ABH153" s="121"/>
      <c r="ABI153" s="121"/>
      <c r="ABJ153" s="121"/>
      <c r="ABK153" s="121"/>
      <c r="ABL153" s="121"/>
      <c r="ABM153" s="121"/>
      <c r="ABN153" s="121"/>
      <c r="ABO153" s="121"/>
      <c r="ABP153" s="121"/>
      <c r="ABQ153" s="121"/>
      <c r="ABR153" s="121"/>
      <c r="ABS153" s="121"/>
      <c r="ABT153" s="121"/>
      <c r="ABU153" s="121"/>
      <c r="ABV153" s="121"/>
      <c r="ABW153" s="121"/>
      <c r="ABX153" s="121"/>
      <c r="ABY153" s="121"/>
      <c r="ABZ153" s="121"/>
      <c r="ACA153" s="121"/>
      <c r="ACB153" s="121"/>
      <c r="ACC153" s="121"/>
      <c r="ACD153" s="121"/>
      <c r="ACE153" s="121"/>
      <c r="ACF153" s="121"/>
      <c r="ACG153" s="121"/>
      <c r="ACH153" s="121"/>
      <c r="ACI153" s="121"/>
      <c r="ACJ153" s="121"/>
      <c r="ACK153" s="121"/>
      <c r="ACL153" s="121"/>
      <c r="ACM153" s="121"/>
      <c r="ACN153" s="121"/>
      <c r="ACO153" s="121"/>
      <c r="ACP153" s="121"/>
      <c r="ACQ153" s="121"/>
      <c r="ACR153" s="121"/>
      <c r="ACS153" s="121"/>
      <c r="ACT153" s="121"/>
      <c r="ACU153" s="121"/>
      <c r="ACV153" s="121"/>
      <c r="ACW153" s="121"/>
      <c r="ACX153" s="121"/>
      <c r="ACY153" s="121"/>
      <c r="ACZ153" s="121"/>
      <c r="ADA153" s="121"/>
      <c r="ADB153" s="121"/>
      <c r="ADC153" s="121"/>
      <c r="ADD153" s="121"/>
      <c r="ADE153" s="121"/>
      <c r="ADF153" s="121"/>
      <c r="ADG153" s="121"/>
      <c r="ADH153" s="121"/>
      <c r="ADI153" s="121"/>
      <c r="ADJ153" s="121"/>
      <c r="ADK153" s="121"/>
      <c r="ADL153" s="121"/>
      <c r="ADM153" s="121"/>
      <c r="ADN153" s="121"/>
      <c r="ADO153" s="121"/>
      <c r="ADP153" s="121"/>
      <c r="ADQ153" s="121"/>
      <c r="ADR153" s="121"/>
      <c r="ADS153" s="121"/>
      <c r="ADT153" s="121"/>
      <c r="ADU153" s="121"/>
      <c r="ADV153" s="121"/>
      <c r="ADW153" s="121"/>
      <c r="ADX153" s="121"/>
      <c r="ADY153" s="121"/>
      <c r="ADZ153" s="121"/>
      <c r="AEA153" s="121"/>
      <c r="AEB153" s="121"/>
      <c r="AEC153" s="121"/>
      <c r="AED153" s="121"/>
      <c r="AEE153" s="121"/>
      <c r="AEF153" s="121"/>
      <c r="AEG153" s="121"/>
      <c r="AEH153" s="121"/>
      <c r="AEI153" s="121"/>
      <c r="AEJ153" s="121"/>
      <c r="AEK153" s="121"/>
      <c r="AEL153" s="121"/>
      <c r="AEM153" s="121"/>
      <c r="AEN153" s="121"/>
      <c r="AEO153" s="121"/>
      <c r="AEP153" s="121"/>
      <c r="AEQ153" s="121"/>
      <c r="AER153" s="121"/>
      <c r="AES153" s="121"/>
      <c r="AET153" s="121"/>
      <c r="AEU153" s="121"/>
      <c r="AEV153" s="121"/>
      <c r="AEW153" s="121"/>
      <c r="AEX153" s="121"/>
      <c r="AEY153" s="121"/>
      <c r="AEZ153" s="121"/>
      <c r="AFA153" s="121"/>
      <c r="AFB153" s="121"/>
      <c r="AFC153" s="121"/>
      <c r="AFD153" s="121"/>
      <c r="AFE153" s="121"/>
      <c r="AFF153" s="121"/>
      <c r="AFG153" s="121"/>
      <c r="AFH153" s="121"/>
      <c r="AFI153" s="121"/>
      <c r="AFJ153" s="121"/>
      <c r="AFK153" s="121"/>
      <c r="AFL153" s="121"/>
      <c r="AFM153" s="121"/>
      <c r="AFN153" s="121"/>
      <c r="AFO153" s="121"/>
      <c r="AFP153" s="121"/>
      <c r="AFQ153" s="121"/>
      <c r="AFR153" s="121"/>
      <c r="AFS153" s="121"/>
      <c r="AFT153" s="121"/>
      <c r="AFU153" s="121"/>
      <c r="AFV153" s="121"/>
      <c r="AFW153" s="121"/>
      <c r="AFX153" s="121"/>
      <c r="AFY153" s="121"/>
      <c r="AFZ153" s="121"/>
      <c r="AGA153" s="121"/>
      <c r="AGB153" s="121"/>
      <c r="AGC153" s="121"/>
      <c r="AGD153" s="121"/>
      <c r="AGE153" s="121"/>
    </row>
    <row r="154" spans="1:863" s="189" customFormat="1" ht="15.75" customHeight="1" x14ac:dyDescent="0.25">
      <c r="A154" s="390">
        <v>43374</v>
      </c>
      <c r="B154" s="357" t="s">
        <v>120</v>
      </c>
      <c r="C154" s="187" t="s">
        <v>31</v>
      </c>
      <c r="D154" s="187" t="s">
        <v>30</v>
      </c>
      <c r="E154" s="187" t="s">
        <v>81</v>
      </c>
      <c r="F154" s="187">
        <v>87</v>
      </c>
      <c r="G154" s="187">
        <v>108</v>
      </c>
      <c r="H154" s="492"/>
      <c r="I154" s="187">
        <v>1101</v>
      </c>
      <c r="J154" s="187"/>
      <c r="K154" s="310" t="s">
        <v>397</v>
      </c>
      <c r="L154" s="311" t="s">
        <v>395</v>
      </c>
      <c r="M154" s="241"/>
      <c r="N154" s="90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1"/>
      <c r="BK154" s="121"/>
      <c r="BL154" s="121"/>
      <c r="BM154" s="121"/>
      <c r="BN154" s="121"/>
      <c r="BO154" s="121"/>
      <c r="BP154" s="121"/>
      <c r="BQ154" s="121"/>
      <c r="BR154" s="121"/>
      <c r="BS154" s="121"/>
      <c r="BT154" s="121"/>
      <c r="BU154" s="121"/>
      <c r="BV154" s="121"/>
      <c r="BW154" s="121"/>
      <c r="BX154" s="121"/>
      <c r="BY154" s="121"/>
      <c r="BZ154" s="121"/>
      <c r="CA154" s="121"/>
      <c r="CB154" s="121"/>
      <c r="CC154" s="121"/>
      <c r="CD154" s="121"/>
      <c r="CE154" s="121"/>
      <c r="CF154" s="121"/>
      <c r="CG154" s="121"/>
      <c r="CH154" s="121"/>
      <c r="CI154" s="121"/>
      <c r="CJ154" s="121"/>
      <c r="CK154" s="121"/>
      <c r="CL154" s="121"/>
      <c r="CM154" s="121"/>
      <c r="CN154" s="121"/>
      <c r="CO154" s="121"/>
      <c r="CP154" s="121"/>
      <c r="CQ154" s="121"/>
      <c r="CR154" s="121"/>
      <c r="CS154" s="121"/>
      <c r="CT154" s="121"/>
      <c r="CU154" s="121"/>
      <c r="CV154" s="121"/>
      <c r="CW154" s="121"/>
      <c r="CX154" s="121"/>
      <c r="CY154" s="121"/>
      <c r="CZ154" s="121"/>
      <c r="DA154" s="121"/>
      <c r="DB154" s="121"/>
      <c r="DC154" s="121"/>
      <c r="DD154" s="121"/>
      <c r="DE154" s="121"/>
      <c r="DF154" s="121"/>
      <c r="DG154" s="121"/>
      <c r="DH154" s="121"/>
      <c r="DI154" s="121"/>
      <c r="DJ154" s="121"/>
      <c r="DK154" s="121"/>
      <c r="DL154" s="121"/>
      <c r="DM154" s="121"/>
      <c r="DN154" s="121"/>
      <c r="DO154" s="121"/>
      <c r="DP154" s="121"/>
      <c r="DQ154" s="121"/>
      <c r="DR154" s="121"/>
      <c r="DS154" s="121"/>
      <c r="DT154" s="121"/>
      <c r="DU154" s="121"/>
      <c r="DV154" s="121"/>
      <c r="DW154" s="121"/>
      <c r="DX154" s="121"/>
      <c r="DY154" s="121"/>
      <c r="DZ154" s="121"/>
      <c r="EA154" s="121"/>
      <c r="EB154" s="121"/>
      <c r="EC154" s="121"/>
      <c r="ED154" s="121"/>
      <c r="EE154" s="121"/>
      <c r="EF154" s="121"/>
      <c r="EG154" s="121"/>
      <c r="EH154" s="121"/>
      <c r="EI154" s="121"/>
      <c r="EJ154" s="121"/>
      <c r="EK154" s="121"/>
      <c r="EL154" s="121"/>
      <c r="EM154" s="121"/>
      <c r="EN154" s="121"/>
      <c r="EO154" s="121"/>
      <c r="EP154" s="121"/>
      <c r="EQ154" s="121"/>
      <c r="ER154" s="121"/>
      <c r="ES154" s="121"/>
      <c r="ET154" s="121"/>
      <c r="EU154" s="121"/>
      <c r="EV154" s="121"/>
      <c r="EW154" s="121"/>
      <c r="EX154" s="121"/>
      <c r="EY154" s="121"/>
      <c r="EZ154" s="121"/>
      <c r="FA154" s="121"/>
      <c r="FB154" s="121"/>
      <c r="FC154" s="121"/>
      <c r="FD154" s="121"/>
      <c r="FE154" s="121"/>
      <c r="FF154" s="121"/>
      <c r="FG154" s="121"/>
      <c r="FH154" s="121"/>
      <c r="FI154" s="121"/>
      <c r="FJ154" s="121"/>
      <c r="FK154" s="121"/>
      <c r="FL154" s="121"/>
      <c r="FM154" s="121"/>
      <c r="FN154" s="121"/>
      <c r="FO154" s="121"/>
      <c r="FP154" s="121"/>
      <c r="FQ154" s="121"/>
      <c r="FR154" s="121"/>
      <c r="FS154" s="121"/>
      <c r="FT154" s="121"/>
      <c r="FU154" s="121"/>
      <c r="FV154" s="121"/>
      <c r="FW154" s="121"/>
      <c r="FX154" s="121"/>
      <c r="FY154" s="121"/>
      <c r="FZ154" s="121"/>
      <c r="GA154" s="121"/>
      <c r="GB154" s="121"/>
      <c r="GC154" s="121"/>
      <c r="GD154" s="121"/>
      <c r="GE154" s="121"/>
      <c r="GF154" s="121"/>
      <c r="GG154" s="121"/>
      <c r="GH154" s="121"/>
      <c r="GI154" s="121"/>
      <c r="GJ154" s="121"/>
      <c r="GK154" s="121"/>
      <c r="GL154" s="121"/>
      <c r="GM154" s="121"/>
      <c r="GN154" s="121"/>
      <c r="GO154" s="121"/>
      <c r="GP154" s="121"/>
      <c r="GQ154" s="121"/>
      <c r="GR154" s="121"/>
      <c r="GS154" s="121"/>
      <c r="GT154" s="121"/>
      <c r="GU154" s="121"/>
      <c r="GV154" s="121"/>
      <c r="GW154" s="121"/>
      <c r="GX154" s="121"/>
      <c r="GY154" s="121"/>
      <c r="GZ154" s="121"/>
      <c r="HA154" s="121"/>
      <c r="HB154" s="121"/>
      <c r="HC154" s="121"/>
      <c r="HD154" s="121"/>
      <c r="HE154" s="121"/>
      <c r="HF154" s="121"/>
      <c r="HG154" s="121"/>
      <c r="HH154" s="121"/>
      <c r="HI154" s="121"/>
      <c r="HJ154" s="121"/>
      <c r="HK154" s="121"/>
      <c r="HL154" s="121"/>
      <c r="HM154" s="121"/>
      <c r="HN154" s="121"/>
      <c r="HO154" s="121"/>
      <c r="HP154" s="121"/>
      <c r="HQ154" s="121"/>
      <c r="HR154" s="121"/>
      <c r="HS154" s="121"/>
      <c r="HT154" s="121"/>
      <c r="HU154" s="121"/>
      <c r="HV154" s="121"/>
      <c r="HW154" s="121"/>
      <c r="HX154" s="121"/>
      <c r="HY154" s="121"/>
      <c r="HZ154" s="121"/>
      <c r="IA154" s="121"/>
      <c r="IB154" s="121"/>
      <c r="IC154" s="121"/>
      <c r="ID154" s="121"/>
      <c r="IE154" s="121"/>
      <c r="IF154" s="121"/>
      <c r="IG154" s="121"/>
      <c r="IH154" s="121"/>
      <c r="II154" s="121"/>
      <c r="IJ154" s="121"/>
      <c r="IK154" s="121"/>
      <c r="IL154" s="121"/>
      <c r="IM154" s="121"/>
      <c r="IN154" s="121"/>
      <c r="IO154" s="121"/>
      <c r="IP154" s="121"/>
      <c r="IQ154" s="121"/>
      <c r="IR154" s="121"/>
      <c r="IS154" s="121"/>
      <c r="IT154" s="121"/>
      <c r="IU154" s="121"/>
      <c r="IV154" s="121"/>
      <c r="IW154" s="121"/>
      <c r="IX154" s="121"/>
      <c r="IY154" s="121"/>
      <c r="IZ154" s="121"/>
      <c r="JA154" s="121"/>
      <c r="JB154" s="121"/>
      <c r="JC154" s="121"/>
      <c r="JD154" s="121"/>
      <c r="JE154" s="121"/>
      <c r="JF154" s="121"/>
      <c r="JG154" s="121"/>
      <c r="JH154" s="121"/>
      <c r="JI154" s="121"/>
      <c r="JJ154" s="121"/>
      <c r="JK154" s="121"/>
      <c r="JL154" s="121"/>
      <c r="JM154" s="121"/>
      <c r="JN154" s="121"/>
      <c r="JO154" s="121"/>
      <c r="JP154" s="121"/>
      <c r="JQ154" s="121"/>
      <c r="JR154" s="121"/>
      <c r="JS154" s="121"/>
      <c r="JT154" s="121"/>
      <c r="JU154" s="121"/>
      <c r="JV154" s="121"/>
      <c r="JW154" s="121"/>
      <c r="JX154" s="121"/>
      <c r="JY154" s="121"/>
      <c r="JZ154" s="121"/>
      <c r="KA154" s="121"/>
      <c r="KB154" s="121"/>
      <c r="KC154" s="121"/>
      <c r="KD154" s="121"/>
      <c r="KE154" s="121"/>
      <c r="KF154" s="121"/>
      <c r="KG154" s="121"/>
      <c r="KH154" s="121"/>
      <c r="KI154" s="121"/>
      <c r="KJ154" s="121"/>
      <c r="KK154" s="121"/>
      <c r="KL154" s="121"/>
      <c r="KM154" s="121"/>
      <c r="KN154" s="121"/>
      <c r="KO154" s="121"/>
      <c r="KP154" s="121"/>
      <c r="KQ154" s="121"/>
      <c r="KR154" s="121"/>
      <c r="KS154" s="121"/>
      <c r="KT154" s="121"/>
      <c r="KU154" s="121"/>
      <c r="KV154" s="121"/>
      <c r="KW154" s="121"/>
      <c r="KX154" s="121"/>
      <c r="KY154" s="121"/>
      <c r="KZ154" s="121"/>
      <c r="LA154" s="121"/>
      <c r="LB154" s="121"/>
      <c r="LC154" s="121"/>
      <c r="LD154" s="121"/>
      <c r="LE154" s="121"/>
      <c r="LF154" s="121"/>
      <c r="LG154" s="121"/>
      <c r="LH154" s="121"/>
      <c r="LI154" s="121"/>
      <c r="LJ154" s="121"/>
      <c r="LK154" s="121"/>
      <c r="LL154" s="121"/>
      <c r="LM154" s="121"/>
      <c r="LN154" s="121"/>
      <c r="LO154" s="121"/>
      <c r="LP154" s="121"/>
      <c r="LQ154" s="121"/>
      <c r="LR154" s="121"/>
      <c r="LS154" s="121"/>
      <c r="LT154" s="121"/>
      <c r="LU154" s="121"/>
      <c r="LV154" s="121"/>
      <c r="LW154" s="121"/>
      <c r="LX154" s="121"/>
      <c r="LY154" s="121"/>
      <c r="LZ154" s="121"/>
      <c r="MA154" s="121"/>
      <c r="MB154" s="121"/>
      <c r="MC154" s="121"/>
      <c r="MD154" s="121"/>
      <c r="ME154" s="121"/>
      <c r="MF154" s="121"/>
      <c r="MG154" s="121"/>
      <c r="MH154" s="121"/>
      <c r="MI154" s="121"/>
      <c r="MJ154" s="121"/>
      <c r="MK154" s="121"/>
      <c r="ML154" s="121"/>
      <c r="MM154" s="121"/>
      <c r="MN154" s="121"/>
      <c r="MO154" s="121"/>
      <c r="MP154" s="121"/>
      <c r="MQ154" s="121"/>
      <c r="MR154" s="121"/>
      <c r="MS154" s="121"/>
      <c r="MT154" s="121"/>
      <c r="MU154" s="121"/>
      <c r="MV154" s="121"/>
      <c r="MW154" s="121"/>
      <c r="MX154" s="121"/>
      <c r="MY154" s="121"/>
      <c r="MZ154" s="121"/>
      <c r="NA154" s="121"/>
      <c r="NB154" s="121"/>
      <c r="NC154" s="121"/>
      <c r="ND154" s="121"/>
      <c r="NE154" s="121"/>
      <c r="NF154" s="121"/>
      <c r="NG154" s="121"/>
      <c r="NH154" s="121"/>
      <c r="NI154" s="121"/>
      <c r="NJ154" s="121"/>
      <c r="NK154" s="121"/>
      <c r="NL154" s="121"/>
      <c r="NM154" s="121"/>
      <c r="NN154" s="121"/>
      <c r="NO154" s="121"/>
      <c r="NP154" s="121"/>
      <c r="NQ154" s="121"/>
      <c r="NR154" s="121"/>
      <c r="NS154" s="121"/>
      <c r="NT154" s="121"/>
      <c r="NU154" s="121"/>
      <c r="NV154" s="121"/>
      <c r="NW154" s="121"/>
      <c r="NX154" s="121"/>
      <c r="NY154" s="121"/>
      <c r="NZ154" s="121"/>
      <c r="OA154" s="121"/>
      <c r="OB154" s="121"/>
      <c r="OC154" s="121"/>
      <c r="OD154" s="121"/>
      <c r="OE154" s="121"/>
      <c r="OF154" s="121"/>
      <c r="OG154" s="121"/>
      <c r="OH154" s="121"/>
      <c r="OI154" s="121"/>
      <c r="OJ154" s="121"/>
      <c r="OK154" s="121"/>
      <c r="OL154" s="121"/>
      <c r="OM154" s="121"/>
      <c r="ON154" s="121"/>
      <c r="OO154" s="121"/>
      <c r="OP154" s="121"/>
      <c r="OQ154" s="121"/>
      <c r="OR154" s="121"/>
      <c r="OS154" s="121"/>
      <c r="OT154" s="121"/>
      <c r="OU154" s="121"/>
      <c r="OV154" s="121"/>
      <c r="OW154" s="121"/>
      <c r="OX154" s="121"/>
      <c r="OY154" s="121"/>
      <c r="OZ154" s="121"/>
      <c r="PA154" s="121"/>
      <c r="PB154" s="121"/>
      <c r="PC154" s="121"/>
      <c r="PD154" s="121"/>
      <c r="PE154" s="121"/>
      <c r="PF154" s="121"/>
      <c r="PG154" s="121"/>
      <c r="PH154" s="121"/>
      <c r="PI154" s="121"/>
      <c r="PJ154" s="121"/>
      <c r="PK154" s="121"/>
      <c r="PL154" s="121"/>
      <c r="PM154" s="121"/>
      <c r="PN154" s="121"/>
      <c r="PO154" s="121"/>
      <c r="PP154" s="121"/>
      <c r="PQ154" s="121"/>
      <c r="PR154" s="121"/>
      <c r="PS154" s="121"/>
      <c r="PT154" s="121"/>
      <c r="PU154" s="121"/>
      <c r="PV154" s="121"/>
      <c r="PW154" s="121"/>
      <c r="PX154" s="121"/>
      <c r="PY154" s="121"/>
      <c r="PZ154" s="121"/>
      <c r="QA154" s="121"/>
      <c r="QB154" s="121"/>
      <c r="QC154" s="121"/>
      <c r="QD154" s="121"/>
      <c r="QE154" s="121"/>
      <c r="QF154" s="121"/>
      <c r="QG154" s="121"/>
      <c r="QH154" s="121"/>
      <c r="QI154" s="121"/>
      <c r="QJ154" s="121"/>
      <c r="QK154" s="121"/>
      <c r="QL154" s="121"/>
      <c r="QM154" s="121"/>
      <c r="QN154" s="121"/>
      <c r="QO154" s="121"/>
      <c r="QP154" s="121"/>
      <c r="QQ154" s="121"/>
      <c r="QR154" s="121"/>
      <c r="QS154" s="121"/>
      <c r="QT154" s="121"/>
      <c r="QU154" s="121"/>
      <c r="QV154" s="121"/>
      <c r="QW154" s="121"/>
      <c r="QX154" s="121"/>
      <c r="QY154" s="121"/>
      <c r="QZ154" s="121"/>
      <c r="RA154" s="121"/>
      <c r="RB154" s="121"/>
      <c r="RC154" s="121"/>
      <c r="RD154" s="121"/>
      <c r="RE154" s="121"/>
      <c r="RF154" s="121"/>
      <c r="RG154" s="121"/>
      <c r="RH154" s="121"/>
      <c r="RI154" s="121"/>
      <c r="RJ154" s="121"/>
      <c r="RK154" s="121"/>
      <c r="RL154" s="121"/>
      <c r="RM154" s="121"/>
      <c r="RN154" s="121"/>
      <c r="RO154" s="121"/>
      <c r="RP154" s="121"/>
      <c r="RQ154" s="121"/>
      <c r="RR154" s="121"/>
      <c r="RS154" s="121"/>
      <c r="RT154" s="121"/>
      <c r="RU154" s="121"/>
      <c r="RV154" s="121"/>
      <c r="RW154" s="121"/>
      <c r="RX154" s="121"/>
      <c r="RY154" s="121"/>
      <c r="RZ154" s="121"/>
      <c r="SA154" s="121"/>
      <c r="SB154" s="121"/>
      <c r="SC154" s="121"/>
      <c r="SD154" s="121"/>
      <c r="SE154" s="121"/>
      <c r="SF154" s="121"/>
      <c r="SG154" s="121"/>
      <c r="SH154" s="121"/>
      <c r="SI154" s="121"/>
      <c r="SJ154" s="121"/>
      <c r="SK154" s="121"/>
      <c r="SL154" s="121"/>
      <c r="SM154" s="121"/>
      <c r="SN154" s="121"/>
      <c r="SO154" s="121"/>
      <c r="SP154" s="121"/>
      <c r="SQ154" s="121"/>
      <c r="SR154" s="121"/>
      <c r="SS154" s="121"/>
      <c r="ST154" s="121"/>
      <c r="SU154" s="121"/>
      <c r="SV154" s="121"/>
      <c r="SW154" s="121"/>
      <c r="SX154" s="121"/>
      <c r="SY154" s="121"/>
      <c r="SZ154" s="121"/>
      <c r="TA154" s="121"/>
      <c r="TB154" s="121"/>
      <c r="TC154" s="121"/>
      <c r="TD154" s="121"/>
      <c r="TE154" s="121"/>
      <c r="TF154" s="121"/>
      <c r="TG154" s="121"/>
      <c r="TH154" s="121"/>
      <c r="TI154" s="121"/>
      <c r="TJ154" s="121"/>
      <c r="TK154" s="121"/>
      <c r="TL154" s="121"/>
      <c r="TM154" s="121"/>
      <c r="TN154" s="121"/>
      <c r="TO154" s="121"/>
      <c r="TP154" s="121"/>
      <c r="TQ154" s="121"/>
      <c r="TR154" s="121"/>
      <c r="TS154" s="121"/>
      <c r="TT154" s="121"/>
      <c r="TU154" s="121"/>
      <c r="TV154" s="121"/>
      <c r="TW154" s="121"/>
      <c r="TX154" s="121"/>
      <c r="TY154" s="121"/>
      <c r="TZ154" s="121"/>
      <c r="UA154" s="121"/>
      <c r="UB154" s="121"/>
      <c r="UC154" s="121"/>
      <c r="UD154" s="121"/>
      <c r="UE154" s="121"/>
      <c r="UF154" s="121"/>
      <c r="UG154" s="121"/>
      <c r="UH154" s="121"/>
      <c r="UI154" s="121"/>
      <c r="UJ154" s="121"/>
      <c r="UK154" s="121"/>
      <c r="UL154" s="121"/>
      <c r="UM154" s="121"/>
      <c r="UN154" s="121"/>
      <c r="UO154" s="121"/>
      <c r="UP154" s="121"/>
      <c r="UQ154" s="121"/>
      <c r="UR154" s="121"/>
      <c r="US154" s="121"/>
      <c r="UT154" s="121"/>
      <c r="UU154" s="121"/>
      <c r="UV154" s="121"/>
      <c r="UW154" s="121"/>
      <c r="UX154" s="121"/>
      <c r="UY154" s="121"/>
      <c r="UZ154" s="121"/>
      <c r="VA154" s="121"/>
      <c r="VB154" s="121"/>
      <c r="VC154" s="121"/>
      <c r="VD154" s="121"/>
      <c r="VE154" s="121"/>
      <c r="VF154" s="121"/>
      <c r="VG154" s="121"/>
      <c r="VH154" s="121"/>
      <c r="VI154" s="121"/>
      <c r="VJ154" s="121"/>
      <c r="VK154" s="121"/>
      <c r="VL154" s="121"/>
      <c r="VM154" s="121"/>
      <c r="VN154" s="121"/>
      <c r="VO154" s="121"/>
      <c r="VP154" s="121"/>
      <c r="VQ154" s="121"/>
      <c r="VR154" s="121"/>
      <c r="VS154" s="121"/>
      <c r="VT154" s="121"/>
      <c r="VU154" s="121"/>
      <c r="VV154" s="121"/>
      <c r="VW154" s="121"/>
      <c r="VX154" s="121"/>
      <c r="VY154" s="121"/>
      <c r="VZ154" s="121"/>
      <c r="WA154" s="121"/>
      <c r="WB154" s="121"/>
      <c r="WC154" s="121"/>
      <c r="WD154" s="121"/>
      <c r="WE154" s="121"/>
      <c r="WF154" s="121"/>
      <c r="WG154" s="121"/>
      <c r="WH154" s="121"/>
      <c r="WI154" s="121"/>
      <c r="WJ154" s="121"/>
      <c r="WK154" s="121"/>
      <c r="WL154" s="121"/>
      <c r="WM154" s="121"/>
      <c r="WN154" s="121"/>
      <c r="WO154" s="121"/>
      <c r="WP154" s="121"/>
      <c r="WQ154" s="121"/>
      <c r="WR154" s="121"/>
      <c r="WS154" s="121"/>
      <c r="WT154" s="121"/>
      <c r="WU154" s="121"/>
      <c r="WV154" s="121"/>
      <c r="WW154" s="121"/>
      <c r="WX154" s="121"/>
      <c r="WY154" s="121"/>
      <c r="WZ154" s="121"/>
      <c r="XA154" s="121"/>
      <c r="XB154" s="121"/>
      <c r="XC154" s="121"/>
      <c r="XD154" s="121"/>
      <c r="XE154" s="121"/>
      <c r="XF154" s="121"/>
      <c r="XG154" s="121"/>
      <c r="XH154" s="121"/>
      <c r="XI154" s="121"/>
      <c r="XJ154" s="121"/>
      <c r="XK154" s="121"/>
      <c r="XL154" s="121"/>
      <c r="XM154" s="121"/>
      <c r="XN154" s="121"/>
      <c r="XO154" s="121"/>
      <c r="XP154" s="121"/>
      <c r="XQ154" s="121"/>
      <c r="XR154" s="121"/>
      <c r="XS154" s="121"/>
      <c r="XT154" s="121"/>
      <c r="XU154" s="121"/>
      <c r="XV154" s="121"/>
      <c r="XW154" s="121"/>
      <c r="XX154" s="121"/>
      <c r="XY154" s="121"/>
      <c r="XZ154" s="121"/>
      <c r="YA154" s="121"/>
      <c r="YB154" s="121"/>
      <c r="YC154" s="121"/>
      <c r="YD154" s="121"/>
      <c r="YE154" s="121"/>
      <c r="YF154" s="121"/>
      <c r="YG154" s="121"/>
      <c r="YH154" s="121"/>
      <c r="YI154" s="121"/>
      <c r="YJ154" s="121"/>
      <c r="YK154" s="121"/>
      <c r="YL154" s="121"/>
      <c r="YM154" s="121"/>
      <c r="YN154" s="121"/>
      <c r="YO154" s="121"/>
      <c r="YP154" s="121"/>
      <c r="YQ154" s="121"/>
      <c r="YR154" s="121"/>
      <c r="YS154" s="121"/>
      <c r="YT154" s="121"/>
      <c r="YU154" s="121"/>
      <c r="YV154" s="121"/>
      <c r="YW154" s="121"/>
      <c r="YX154" s="121"/>
      <c r="YY154" s="121"/>
      <c r="YZ154" s="121"/>
      <c r="ZA154" s="121"/>
      <c r="ZB154" s="121"/>
      <c r="ZC154" s="121"/>
      <c r="ZD154" s="121"/>
      <c r="ZE154" s="121"/>
      <c r="ZF154" s="121"/>
      <c r="ZG154" s="121"/>
      <c r="ZH154" s="121"/>
      <c r="ZI154" s="121"/>
      <c r="ZJ154" s="121"/>
      <c r="ZK154" s="121"/>
      <c r="ZL154" s="121"/>
      <c r="ZM154" s="121"/>
      <c r="ZN154" s="121"/>
      <c r="ZO154" s="121"/>
      <c r="ZP154" s="121"/>
      <c r="ZQ154" s="121"/>
      <c r="ZR154" s="121"/>
      <c r="ZS154" s="121"/>
      <c r="ZT154" s="121"/>
      <c r="ZU154" s="121"/>
      <c r="ZV154" s="121"/>
      <c r="ZW154" s="121"/>
      <c r="ZX154" s="121"/>
      <c r="ZY154" s="121"/>
      <c r="ZZ154" s="121"/>
      <c r="AAA154" s="121"/>
      <c r="AAB154" s="121"/>
      <c r="AAC154" s="121"/>
      <c r="AAD154" s="121"/>
      <c r="AAE154" s="121"/>
      <c r="AAF154" s="121"/>
      <c r="AAG154" s="121"/>
      <c r="AAH154" s="121"/>
      <c r="AAI154" s="121"/>
      <c r="AAJ154" s="121"/>
      <c r="AAK154" s="121"/>
      <c r="AAL154" s="121"/>
      <c r="AAM154" s="121"/>
      <c r="AAN154" s="121"/>
      <c r="AAO154" s="121"/>
      <c r="AAP154" s="121"/>
      <c r="AAQ154" s="121"/>
      <c r="AAR154" s="121"/>
      <c r="AAS154" s="121"/>
      <c r="AAT154" s="121"/>
      <c r="AAU154" s="121"/>
      <c r="AAV154" s="121"/>
      <c r="AAW154" s="121"/>
      <c r="AAX154" s="121"/>
      <c r="AAY154" s="121"/>
      <c r="AAZ154" s="121"/>
      <c r="ABA154" s="121"/>
      <c r="ABB154" s="121"/>
      <c r="ABC154" s="121"/>
      <c r="ABD154" s="121"/>
      <c r="ABE154" s="121"/>
      <c r="ABF154" s="121"/>
      <c r="ABG154" s="121"/>
      <c r="ABH154" s="121"/>
      <c r="ABI154" s="121"/>
      <c r="ABJ154" s="121"/>
      <c r="ABK154" s="121"/>
      <c r="ABL154" s="121"/>
      <c r="ABM154" s="121"/>
      <c r="ABN154" s="121"/>
      <c r="ABO154" s="121"/>
      <c r="ABP154" s="121"/>
      <c r="ABQ154" s="121"/>
      <c r="ABR154" s="121"/>
      <c r="ABS154" s="121"/>
      <c r="ABT154" s="121"/>
      <c r="ABU154" s="121"/>
      <c r="ABV154" s="121"/>
      <c r="ABW154" s="121"/>
      <c r="ABX154" s="121"/>
      <c r="ABY154" s="121"/>
      <c r="ABZ154" s="121"/>
      <c r="ACA154" s="121"/>
      <c r="ACB154" s="121"/>
      <c r="ACC154" s="121"/>
      <c r="ACD154" s="121"/>
      <c r="ACE154" s="121"/>
      <c r="ACF154" s="121"/>
      <c r="ACG154" s="121"/>
      <c r="ACH154" s="121"/>
      <c r="ACI154" s="121"/>
      <c r="ACJ154" s="121"/>
      <c r="ACK154" s="121"/>
      <c r="ACL154" s="121"/>
      <c r="ACM154" s="121"/>
      <c r="ACN154" s="121"/>
      <c r="ACO154" s="121"/>
      <c r="ACP154" s="121"/>
      <c r="ACQ154" s="121"/>
      <c r="ACR154" s="121"/>
      <c r="ACS154" s="121"/>
      <c r="ACT154" s="121"/>
      <c r="ACU154" s="121"/>
      <c r="ACV154" s="121"/>
      <c r="ACW154" s="121"/>
      <c r="ACX154" s="121"/>
      <c r="ACY154" s="121"/>
      <c r="ACZ154" s="121"/>
      <c r="ADA154" s="121"/>
      <c r="ADB154" s="121"/>
      <c r="ADC154" s="121"/>
      <c r="ADD154" s="121"/>
      <c r="ADE154" s="121"/>
      <c r="ADF154" s="121"/>
      <c r="ADG154" s="121"/>
      <c r="ADH154" s="121"/>
      <c r="ADI154" s="121"/>
      <c r="ADJ154" s="121"/>
      <c r="ADK154" s="121"/>
      <c r="ADL154" s="121"/>
      <c r="ADM154" s="121"/>
      <c r="ADN154" s="121"/>
      <c r="ADO154" s="121"/>
      <c r="ADP154" s="121"/>
      <c r="ADQ154" s="121"/>
      <c r="ADR154" s="121"/>
      <c r="ADS154" s="121"/>
      <c r="ADT154" s="121"/>
      <c r="ADU154" s="121"/>
      <c r="ADV154" s="121"/>
      <c r="ADW154" s="121"/>
      <c r="ADX154" s="121"/>
      <c r="ADY154" s="121"/>
      <c r="ADZ154" s="121"/>
      <c r="AEA154" s="121"/>
      <c r="AEB154" s="121"/>
      <c r="AEC154" s="121"/>
      <c r="AED154" s="121"/>
      <c r="AEE154" s="121"/>
      <c r="AEF154" s="121"/>
      <c r="AEG154" s="121"/>
      <c r="AEH154" s="121"/>
      <c r="AEI154" s="121"/>
      <c r="AEJ154" s="121"/>
      <c r="AEK154" s="121"/>
      <c r="AEL154" s="121"/>
      <c r="AEM154" s="121"/>
      <c r="AEN154" s="121"/>
      <c r="AEO154" s="121"/>
      <c r="AEP154" s="121"/>
      <c r="AEQ154" s="121"/>
      <c r="AER154" s="121"/>
      <c r="AES154" s="121"/>
      <c r="AET154" s="121"/>
      <c r="AEU154" s="121"/>
      <c r="AEV154" s="121"/>
      <c r="AEW154" s="121"/>
      <c r="AEX154" s="121"/>
      <c r="AEY154" s="121"/>
      <c r="AEZ154" s="121"/>
      <c r="AFA154" s="121"/>
      <c r="AFB154" s="121"/>
      <c r="AFC154" s="121"/>
      <c r="AFD154" s="121"/>
      <c r="AFE154" s="121"/>
      <c r="AFF154" s="121"/>
      <c r="AFG154" s="121"/>
      <c r="AFH154" s="121"/>
      <c r="AFI154" s="121"/>
      <c r="AFJ154" s="121"/>
      <c r="AFK154" s="121"/>
      <c r="AFL154" s="121"/>
      <c r="AFM154" s="121"/>
      <c r="AFN154" s="121"/>
      <c r="AFO154" s="121"/>
      <c r="AFP154" s="121"/>
      <c r="AFQ154" s="121"/>
      <c r="AFR154" s="121"/>
      <c r="AFS154" s="121"/>
      <c r="AFT154" s="121"/>
      <c r="AFU154" s="121"/>
      <c r="AFV154" s="121"/>
      <c r="AFW154" s="121"/>
      <c r="AFX154" s="121"/>
      <c r="AFY154" s="121"/>
      <c r="AFZ154" s="121"/>
      <c r="AGA154" s="121"/>
      <c r="AGB154" s="121"/>
      <c r="AGC154" s="121"/>
      <c r="AGD154" s="121"/>
      <c r="AGE154" s="121"/>
    </row>
    <row r="155" spans="1:863" s="189" customFormat="1" ht="15.75" customHeight="1" x14ac:dyDescent="0.25">
      <c r="A155" s="390">
        <v>43374</v>
      </c>
      <c r="B155" s="190" t="s">
        <v>121</v>
      </c>
      <c r="C155" s="187" t="s">
        <v>31</v>
      </c>
      <c r="D155" s="187" t="s">
        <v>30</v>
      </c>
      <c r="E155" s="187" t="s">
        <v>81</v>
      </c>
      <c r="F155" s="187">
        <v>88</v>
      </c>
      <c r="G155" s="187">
        <v>288</v>
      </c>
      <c r="H155" s="186">
        <v>2029</v>
      </c>
      <c r="I155" s="187">
        <v>2830</v>
      </c>
      <c r="J155" s="187"/>
      <c r="K155" s="310" t="s">
        <v>397</v>
      </c>
      <c r="L155" s="311" t="s">
        <v>395</v>
      </c>
      <c r="M155" s="241"/>
      <c r="N155" s="89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  <c r="BK155" s="121"/>
      <c r="BL155" s="121"/>
      <c r="BM155" s="121"/>
      <c r="BN155" s="121"/>
      <c r="BO155" s="121"/>
      <c r="BP155" s="121"/>
      <c r="BQ155" s="121"/>
      <c r="BR155" s="121"/>
      <c r="BS155" s="121"/>
      <c r="BT155" s="121"/>
      <c r="BU155" s="121"/>
      <c r="BV155" s="121"/>
      <c r="BW155" s="121"/>
      <c r="BX155" s="121"/>
      <c r="BY155" s="121"/>
      <c r="BZ155" s="121"/>
      <c r="CA155" s="121"/>
      <c r="CB155" s="121"/>
      <c r="CC155" s="121"/>
      <c r="CD155" s="121"/>
      <c r="CE155" s="121"/>
      <c r="CF155" s="121"/>
      <c r="CG155" s="121"/>
      <c r="CH155" s="121"/>
      <c r="CI155" s="121"/>
      <c r="CJ155" s="121"/>
      <c r="CK155" s="121"/>
      <c r="CL155" s="121"/>
      <c r="CM155" s="121"/>
      <c r="CN155" s="121"/>
      <c r="CO155" s="121"/>
      <c r="CP155" s="121"/>
      <c r="CQ155" s="121"/>
      <c r="CR155" s="121"/>
      <c r="CS155" s="121"/>
      <c r="CT155" s="121"/>
      <c r="CU155" s="121"/>
      <c r="CV155" s="121"/>
      <c r="CW155" s="121"/>
      <c r="CX155" s="121"/>
      <c r="CY155" s="121"/>
      <c r="CZ155" s="121"/>
      <c r="DA155" s="121"/>
      <c r="DB155" s="121"/>
      <c r="DC155" s="121"/>
      <c r="DD155" s="121"/>
      <c r="DE155" s="121"/>
      <c r="DF155" s="121"/>
      <c r="DG155" s="121"/>
      <c r="DH155" s="121"/>
      <c r="DI155" s="121"/>
      <c r="DJ155" s="121"/>
      <c r="DK155" s="121"/>
      <c r="DL155" s="121"/>
      <c r="DM155" s="121"/>
      <c r="DN155" s="121"/>
      <c r="DO155" s="121"/>
      <c r="DP155" s="121"/>
      <c r="DQ155" s="121"/>
      <c r="DR155" s="121"/>
      <c r="DS155" s="121"/>
      <c r="DT155" s="121"/>
      <c r="DU155" s="121"/>
      <c r="DV155" s="121"/>
      <c r="DW155" s="121"/>
      <c r="DX155" s="121"/>
      <c r="DY155" s="121"/>
      <c r="DZ155" s="121"/>
      <c r="EA155" s="121"/>
      <c r="EB155" s="121"/>
      <c r="EC155" s="121"/>
      <c r="ED155" s="121"/>
      <c r="EE155" s="121"/>
      <c r="EF155" s="121"/>
      <c r="EG155" s="121"/>
      <c r="EH155" s="121"/>
      <c r="EI155" s="121"/>
      <c r="EJ155" s="121"/>
      <c r="EK155" s="121"/>
      <c r="EL155" s="121"/>
      <c r="EM155" s="121"/>
      <c r="EN155" s="121"/>
      <c r="EO155" s="121"/>
      <c r="EP155" s="121"/>
      <c r="EQ155" s="121"/>
      <c r="ER155" s="121"/>
      <c r="ES155" s="121"/>
      <c r="ET155" s="121"/>
      <c r="EU155" s="121"/>
      <c r="EV155" s="121"/>
      <c r="EW155" s="121"/>
      <c r="EX155" s="121"/>
      <c r="EY155" s="121"/>
      <c r="EZ155" s="121"/>
      <c r="FA155" s="121"/>
      <c r="FB155" s="121"/>
      <c r="FC155" s="121"/>
      <c r="FD155" s="121"/>
      <c r="FE155" s="121"/>
      <c r="FF155" s="121"/>
      <c r="FG155" s="121"/>
      <c r="FH155" s="121"/>
      <c r="FI155" s="121"/>
      <c r="FJ155" s="121"/>
      <c r="FK155" s="121"/>
      <c r="FL155" s="121"/>
      <c r="FM155" s="121"/>
      <c r="FN155" s="121"/>
      <c r="FO155" s="121"/>
      <c r="FP155" s="121"/>
      <c r="FQ155" s="121"/>
      <c r="FR155" s="121"/>
      <c r="FS155" s="121"/>
      <c r="FT155" s="121"/>
      <c r="FU155" s="121"/>
      <c r="FV155" s="121"/>
      <c r="FW155" s="121"/>
      <c r="FX155" s="121"/>
      <c r="FY155" s="121"/>
      <c r="FZ155" s="121"/>
      <c r="GA155" s="121"/>
      <c r="GB155" s="121"/>
      <c r="GC155" s="121"/>
      <c r="GD155" s="121"/>
      <c r="GE155" s="121"/>
      <c r="GF155" s="121"/>
      <c r="GG155" s="121"/>
      <c r="GH155" s="121"/>
      <c r="GI155" s="121"/>
      <c r="GJ155" s="121"/>
      <c r="GK155" s="121"/>
      <c r="GL155" s="121"/>
      <c r="GM155" s="121"/>
      <c r="GN155" s="121"/>
      <c r="GO155" s="121"/>
      <c r="GP155" s="121"/>
      <c r="GQ155" s="121"/>
      <c r="GR155" s="121"/>
      <c r="GS155" s="121"/>
      <c r="GT155" s="121"/>
      <c r="GU155" s="121"/>
      <c r="GV155" s="121"/>
      <c r="GW155" s="121"/>
      <c r="GX155" s="121"/>
      <c r="GY155" s="121"/>
      <c r="GZ155" s="121"/>
      <c r="HA155" s="121"/>
      <c r="HB155" s="121"/>
      <c r="HC155" s="121"/>
      <c r="HD155" s="121"/>
      <c r="HE155" s="121"/>
      <c r="HF155" s="121"/>
      <c r="HG155" s="121"/>
      <c r="HH155" s="121"/>
      <c r="HI155" s="121"/>
      <c r="HJ155" s="121"/>
      <c r="HK155" s="121"/>
      <c r="HL155" s="121"/>
      <c r="HM155" s="121"/>
      <c r="HN155" s="121"/>
      <c r="HO155" s="121"/>
      <c r="HP155" s="121"/>
      <c r="HQ155" s="121"/>
      <c r="HR155" s="121"/>
      <c r="HS155" s="121"/>
      <c r="HT155" s="121"/>
      <c r="HU155" s="121"/>
      <c r="HV155" s="121"/>
      <c r="HW155" s="121"/>
      <c r="HX155" s="121"/>
      <c r="HY155" s="121"/>
      <c r="HZ155" s="121"/>
      <c r="IA155" s="121"/>
      <c r="IB155" s="121"/>
      <c r="IC155" s="121"/>
      <c r="ID155" s="121"/>
      <c r="IE155" s="121"/>
      <c r="IF155" s="121"/>
      <c r="IG155" s="121"/>
      <c r="IH155" s="121"/>
      <c r="II155" s="121"/>
      <c r="IJ155" s="121"/>
      <c r="IK155" s="121"/>
      <c r="IL155" s="121"/>
      <c r="IM155" s="121"/>
      <c r="IN155" s="121"/>
      <c r="IO155" s="121"/>
      <c r="IP155" s="121"/>
      <c r="IQ155" s="121"/>
      <c r="IR155" s="121"/>
      <c r="IS155" s="121"/>
      <c r="IT155" s="121"/>
      <c r="IU155" s="121"/>
      <c r="IV155" s="121"/>
      <c r="IW155" s="121"/>
      <c r="IX155" s="121"/>
      <c r="IY155" s="121"/>
      <c r="IZ155" s="121"/>
      <c r="JA155" s="121"/>
      <c r="JB155" s="121"/>
      <c r="JC155" s="121"/>
      <c r="JD155" s="121"/>
      <c r="JE155" s="121"/>
      <c r="JF155" s="121"/>
      <c r="JG155" s="121"/>
      <c r="JH155" s="121"/>
      <c r="JI155" s="121"/>
      <c r="JJ155" s="121"/>
      <c r="JK155" s="121"/>
      <c r="JL155" s="121"/>
      <c r="JM155" s="121"/>
      <c r="JN155" s="121"/>
      <c r="JO155" s="121"/>
      <c r="JP155" s="121"/>
      <c r="JQ155" s="121"/>
      <c r="JR155" s="121"/>
      <c r="JS155" s="121"/>
      <c r="JT155" s="121"/>
      <c r="JU155" s="121"/>
      <c r="JV155" s="121"/>
      <c r="JW155" s="121"/>
      <c r="JX155" s="121"/>
      <c r="JY155" s="121"/>
      <c r="JZ155" s="121"/>
      <c r="KA155" s="121"/>
      <c r="KB155" s="121"/>
      <c r="KC155" s="121"/>
      <c r="KD155" s="121"/>
      <c r="KE155" s="121"/>
      <c r="KF155" s="121"/>
      <c r="KG155" s="121"/>
      <c r="KH155" s="121"/>
      <c r="KI155" s="121"/>
      <c r="KJ155" s="121"/>
      <c r="KK155" s="121"/>
      <c r="KL155" s="121"/>
      <c r="KM155" s="121"/>
      <c r="KN155" s="121"/>
      <c r="KO155" s="121"/>
      <c r="KP155" s="121"/>
      <c r="KQ155" s="121"/>
      <c r="KR155" s="121"/>
      <c r="KS155" s="121"/>
      <c r="KT155" s="121"/>
      <c r="KU155" s="121"/>
      <c r="KV155" s="121"/>
      <c r="KW155" s="121"/>
      <c r="KX155" s="121"/>
      <c r="KY155" s="121"/>
      <c r="KZ155" s="121"/>
      <c r="LA155" s="121"/>
      <c r="LB155" s="121"/>
      <c r="LC155" s="121"/>
      <c r="LD155" s="121"/>
      <c r="LE155" s="121"/>
      <c r="LF155" s="121"/>
      <c r="LG155" s="121"/>
      <c r="LH155" s="121"/>
      <c r="LI155" s="121"/>
      <c r="LJ155" s="121"/>
      <c r="LK155" s="121"/>
      <c r="LL155" s="121"/>
      <c r="LM155" s="121"/>
      <c r="LN155" s="121"/>
      <c r="LO155" s="121"/>
      <c r="LP155" s="121"/>
      <c r="LQ155" s="121"/>
      <c r="LR155" s="121"/>
      <c r="LS155" s="121"/>
      <c r="LT155" s="121"/>
      <c r="LU155" s="121"/>
      <c r="LV155" s="121"/>
      <c r="LW155" s="121"/>
      <c r="LX155" s="121"/>
      <c r="LY155" s="121"/>
      <c r="LZ155" s="121"/>
      <c r="MA155" s="121"/>
      <c r="MB155" s="121"/>
      <c r="MC155" s="121"/>
      <c r="MD155" s="121"/>
      <c r="ME155" s="121"/>
      <c r="MF155" s="121"/>
      <c r="MG155" s="121"/>
      <c r="MH155" s="121"/>
      <c r="MI155" s="121"/>
      <c r="MJ155" s="121"/>
      <c r="MK155" s="121"/>
      <c r="ML155" s="121"/>
      <c r="MM155" s="121"/>
      <c r="MN155" s="121"/>
      <c r="MO155" s="121"/>
      <c r="MP155" s="121"/>
      <c r="MQ155" s="121"/>
      <c r="MR155" s="121"/>
      <c r="MS155" s="121"/>
      <c r="MT155" s="121"/>
      <c r="MU155" s="121"/>
      <c r="MV155" s="121"/>
      <c r="MW155" s="121"/>
      <c r="MX155" s="121"/>
      <c r="MY155" s="121"/>
      <c r="MZ155" s="121"/>
      <c r="NA155" s="121"/>
      <c r="NB155" s="121"/>
      <c r="NC155" s="121"/>
      <c r="ND155" s="121"/>
      <c r="NE155" s="121"/>
      <c r="NF155" s="121"/>
      <c r="NG155" s="121"/>
      <c r="NH155" s="121"/>
      <c r="NI155" s="121"/>
      <c r="NJ155" s="121"/>
      <c r="NK155" s="121"/>
      <c r="NL155" s="121"/>
      <c r="NM155" s="121"/>
      <c r="NN155" s="121"/>
      <c r="NO155" s="121"/>
      <c r="NP155" s="121"/>
      <c r="NQ155" s="121"/>
      <c r="NR155" s="121"/>
      <c r="NS155" s="121"/>
      <c r="NT155" s="121"/>
      <c r="NU155" s="121"/>
      <c r="NV155" s="121"/>
      <c r="NW155" s="121"/>
      <c r="NX155" s="121"/>
      <c r="NY155" s="121"/>
      <c r="NZ155" s="121"/>
      <c r="OA155" s="121"/>
      <c r="OB155" s="121"/>
      <c r="OC155" s="121"/>
      <c r="OD155" s="121"/>
      <c r="OE155" s="121"/>
      <c r="OF155" s="121"/>
      <c r="OG155" s="121"/>
      <c r="OH155" s="121"/>
      <c r="OI155" s="121"/>
      <c r="OJ155" s="121"/>
      <c r="OK155" s="121"/>
      <c r="OL155" s="121"/>
      <c r="OM155" s="121"/>
      <c r="ON155" s="121"/>
      <c r="OO155" s="121"/>
      <c r="OP155" s="121"/>
      <c r="OQ155" s="121"/>
      <c r="OR155" s="121"/>
      <c r="OS155" s="121"/>
      <c r="OT155" s="121"/>
      <c r="OU155" s="121"/>
      <c r="OV155" s="121"/>
      <c r="OW155" s="121"/>
      <c r="OX155" s="121"/>
      <c r="OY155" s="121"/>
      <c r="OZ155" s="121"/>
      <c r="PA155" s="121"/>
      <c r="PB155" s="121"/>
      <c r="PC155" s="121"/>
      <c r="PD155" s="121"/>
      <c r="PE155" s="121"/>
      <c r="PF155" s="121"/>
      <c r="PG155" s="121"/>
      <c r="PH155" s="121"/>
      <c r="PI155" s="121"/>
      <c r="PJ155" s="121"/>
      <c r="PK155" s="121"/>
      <c r="PL155" s="121"/>
      <c r="PM155" s="121"/>
      <c r="PN155" s="121"/>
      <c r="PO155" s="121"/>
      <c r="PP155" s="121"/>
      <c r="PQ155" s="121"/>
      <c r="PR155" s="121"/>
      <c r="PS155" s="121"/>
      <c r="PT155" s="121"/>
      <c r="PU155" s="121"/>
      <c r="PV155" s="121"/>
      <c r="PW155" s="121"/>
      <c r="PX155" s="121"/>
      <c r="PY155" s="121"/>
      <c r="PZ155" s="121"/>
      <c r="QA155" s="121"/>
      <c r="QB155" s="121"/>
      <c r="QC155" s="121"/>
      <c r="QD155" s="121"/>
      <c r="QE155" s="121"/>
      <c r="QF155" s="121"/>
      <c r="QG155" s="121"/>
      <c r="QH155" s="121"/>
      <c r="QI155" s="121"/>
      <c r="QJ155" s="121"/>
      <c r="QK155" s="121"/>
      <c r="QL155" s="121"/>
      <c r="QM155" s="121"/>
      <c r="QN155" s="121"/>
      <c r="QO155" s="121"/>
      <c r="QP155" s="121"/>
      <c r="QQ155" s="121"/>
      <c r="QR155" s="121"/>
      <c r="QS155" s="121"/>
      <c r="QT155" s="121"/>
      <c r="QU155" s="121"/>
      <c r="QV155" s="121"/>
      <c r="QW155" s="121"/>
      <c r="QX155" s="121"/>
      <c r="QY155" s="121"/>
      <c r="QZ155" s="121"/>
      <c r="RA155" s="121"/>
      <c r="RB155" s="121"/>
      <c r="RC155" s="121"/>
      <c r="RD155" s="121"/>
      <c r="RE155" s="121"/>
      <c r="RF155" s="121"/>
      <c r="RG155" s="121"/>
      <c r="RH155" s="121"/>
      <c r="RI155" s="121"/>
      <c r="RJ155" s="121"/>
      <c r="RK155" s="121"/>
      <c r="RL155" s="121"/>
      <c r="RM155" s="121"/>
      <c r="RN155" s="121"/>
      <c r="RO155" s="121"/>
      <c r="RP155" s="121"/>
      <c r="RQ155" s="121"/>
      <c r="RR155" s="121"/>
      <c r="RS155" s="121"/>
      <c r="RT155" s="121"/>
      <c r="RU155" s="121"/>
      <c r="RV155" s="121"/>
      <c r="RW155" s="121"/>
      <c r="RX155" s="121"/>
      <c r="RY155" s="121"/>
      <c r="RZ155" s="121"/>
      <c r="SA155" s="121"/>
      <c r="SB155" s="121"/>
      <c r="SC155" s="121"/>
      <c r="SD155" s="121"/>
      <c r="SE155" s="121"/>
      <c r="SF155" s="121"/>
      <c r="SG155" s="121"/>
      <c r="SH155" s="121"/>
      <c r="SI155" s="121"/>
      <c r="SJ155" s="121"/>
      <c r="SK155" s="121"/>
      <c r="SL155" s="121"/>
      <c r="SM155" s="121"/>
      <c r="SN155" s="121"/>
      <c r="SO155" s="121"/>
      <c r="SP155" s="121"/>
      <c r="SQ155" s="121"/>
      <c r="SR155" s="121"/>
      <c r="SS155" s="121"/>
      <c r="ST155" s="121"/>
      <c r="SU155" s="121"/>
      <c r="SV155" s="121"/>
      <c r="SW155" s="121"/>
      <c r="SX155" s="121"/>
      <c r="SY155" s="121"/>
      <c r="SZ155" s="121"/>
      <c r="TA155" s="121"/>
      <c r="TB155" s="121"/>
      <c r="TC155" s="121"/>
      <c r="TD155" s="121"/>
      <c r="TE155" s="121"/>
      <c r="TF155" s="121"/>
      <c r="TG155" s="121"/>
      <c r="TH155" s="121"/>
      <c r="TI155" s="121"/>
      <c r="TJ155" s="121"/>
      <c r="TK155" s="121"/>
      <c r="TL155" s="121"/>
      <c r="TM155" s="121"/>
      <c r="TN155" s="121"/>
      <c r="TO155" s="121"/>
      <c r="TP155" s="121"/>
      <c r="TQ155" s="121"/>
      <c r="TR155" s="121"/>
      <c r="TS155" s="121"/>
      <c r="TT155" s="121"/>
      <c r="TU155" s="121"/>
      <c r="TV155" s="121"/>
      <c r="TW155" s="121"/>
      <c r="TX155" s="121"/>
      <c r="TY155" s="121"/>
      <c r="TZ155" s="121"/>
      <c r="UA155" s="121"/>
      <c r="UB155" s="121"/>
      <c r="UC155" s="121"/>
      <c r="UD155" s="121"/>
      <c r="UE155" s="121"/>
      <c r="UF155" s="121"/>
      <c r="UG155" s="121"/>
      <c r="UH155" s="121"/>
      <c r="UI155" s="121"/>
      <c r="UJ155" s="121"/>
      <c r="UK155" s="121"/>
      <c r="UL155" s="121"/>
      <c r="UM155" s="121"/>
      <c r="UN155" s="121"/>
      <c r="UO155" s="121"/>
      <c r="UP155" s="121"/>
      <c r="UQ155" s="121"/>
      <c r="UR155" s="121"/>
      <c r="US155" s="121"/>
      <c r="UT155" s="121"/>
      <c r="UU155" s="121"/>
      <c r="UV155" s="121"/>
      <c r="UW155" s="121"/>
      <c r="UX155" s="121"/>
      <c r="UY155" s="121"/>
      <c r="UZ155" s="121"/>
      <c r="VA155" s="121"/>
      <c r="VB155" s="121"/>
      <c r="VC155" s="121"/>
      <c r="VD155" s="121"/>
      <c r="VE155" s="121"/>
      <c r="VF155" s="121"/>
      <c r="VG155" s="121"/>
      <c r="VH155" s="121"/>
      <c r="VI155" s="121"/>
      <c r="VJ155" s="121"/>
      <c r="VK155" s="121"/>
      <c r="VL155" s="121"/>
      <c r="VM155" s="121"/>
      <c r="VN155" s="121"/>
      <c r="VO155" s="121"/>
      <c r="VP155" s="121"/>
      <c r="VQ155" s="121"/>
      <c r="VR155" s="121"/>
      <c r="VS155" s="121"/>
      <c r="VT155" s="121"/>
      <c r="VU155" s="121"/>
      <c r="VV155" s="121"/>
      <c r="VW155" s="121"/>
      <c r="VX155" s="121"/>
      <c r="VY155" s="121"/>
      <c r="VZ155" s="121"/>
      <c r="WA155" s="121"/>
      <c r="WB155" s="121"/>
      <c r="WC155" s="121"/>
      <c r="WD155" s="121"/>
      <c r="WE155" s="121"/>
      <c r="WF155" s="121"/>
      <c r="WG155" s="121"/>
      <c r="WH155" s="121"/>
      <c r="WI155" s="121"/>
      <c r="WJ155" s="121"/>
      <c r="WK155" s="121"/>
      <c r="WL155" s="121"/>
      <c r="WM155" s="121"/>
      <c r="WN155" s="121"/>
      <c r="WO155" s="121"/>
      <c r="WP155" s="121"/>
      <c r="WQ155" s="121"/>
      <c r="WR155" s="121"/>
      <c r="WS155" s="121"/>
      <c r="WT155" s="121"/>
      <c r="WU155" s="121"/>
      <c r="WV155" s="121"/>
      <c r="WW155" s="121"/>
      <c r="WX155" s="121"/>
      <c r="WY155" s="121"/>
      <c r="WZ155" s="121"/>
      <c r="XA155" s="121"/>
      <c r="XB155" s="121"/>
      <c r="XC155" s="121"/>
      <c r="XD155" s="121"/>
      <c r="XE155" s="121"/>
      <c r="XF155" s="121"/>
      <c r="XG155" s="121"/>
      <c r="XH155" s="121"/>
      <c r="XI155" s="121"/>
      <c r="XJ155" s="121"/>
      <c r="XK155" s="121"/>
      <c r="XL155" s="121"/>
      <c r="XM155" s="121"/>
      <c r="XN155" s="121"/>
      <c r="XO155" s="121"/>
      <c r="XP155" s="121"/>
      <c r="XQ155" s="121"/>
      <c r="XR155" s="121"/>
      <c r="XS155" s="121"/>
      <c r="XT155" s="121"/>
      <c r="XU155" s="121"/>
      <c r="XV155" s="121"/>
      <c r="XW155" s="121"/>
      <c r="XX155" s="121"/>
      <c r="XY155" s="121"/>
      <c r="XZ155" s="121"/>
      <c r="YA155" s="121"/>
      <c r="YB155" s="121"/>
      <c r="YC155" s="121"/>
      <c r="YD155" s="121"/>
      <c r="YE155" s="121"/>
      <c r="YF155" s="121"/>
      <c r="YG155" s="121"/>
      <c r="YH155" s="121"/>
      <c r="YI155" s="121"/>
      <c r="YJ155" s="121"/>
      <c r="YK155" s="121"/>
      <c r="YL155" s="121"/>
      <c r="YM155" s="121"/>
      <c r="YN155" s="121"/>
      <c r="YO155" s="121"/>
      <c r="YP155" s="121"/>
      <c r="YQ155" s="121"/>
      <c r="YR155" s="121"/>
      <c r="YS155" s="121"/>
      <c r="YT155" s="121"/>
      <c r="YU155" s="121"/>
      <c r="YV155" s="121"/>
      <c r="YW155" s="121"/>
      <c r="YX155" s="121"/>
      <c r="YY155" s="121"/>
      <c r="YZ155" s="121"/>
      <c r="ZA155" s="121"/>
      <c r="ZB155" s="121"/>
      <c r="ZC155" s="121"/>
      <c r="ZD155" s="121"/>
      <c r="ZE155" s="121"/>
      <c r="ZF155" s="121"/>
      <c r="ZG155" s="121"/>
      <c r="ZH155" s="121"/>
      <c r="ZI155" s="121"/>
      <c r="ZJ155" s="121"/>
      <c r="ZK155" s="121"/>
      <c r="ZL155" s="121"/>
      <c r="ZM155" s="121"/>
      <c r="ZN155" s="121"/>
      <c r="ZO155" s="121"/>
      <c r="ZP155" s="121"/>
      <c r="ZQ155" s="121"/>
      <c r="ZR155" s="121"/>
      <c r="ZS155" s="121"/>
      <c r="ZT155" s="121"/>
      <c r="ZU155" s="121"/>
      <c r="ZV155" s="121"/>
      <c r="ZW155" s="121"/>
      <c r="ZX155" s="121"/>
      <c r="ZY155" s="121"/>
      <c r="ZZ155" s="121"/>
      <c r="AAA155" s="121"/>
      <c r="AAB155" s="121"/>
      <c r="AAC155" s="121"/>
      <c r="AAD155" s="121"/>
      <c r="AAE155" s="121"/>
      <c r="AAF155" s="121"/>
      <c r="AAG155" s="121"/>
      <c r="AAH155" s="121"/>
      <c r="AAI155" s="121"/>
      <c r="AAJ155" s="121"/>
      <c r="AAK155" s="121"/>
      <c r="AAL155" s="121"/>
      <c r="AAM155" s="121"/>
      <c r="AAN155" s="121"/>
      <c r="AAO155" s="121"/>
      <c r="AAP155" s="121"/>
      <c r="AAQ155" s="121"/>
      <c r="AAR155" s="121"/>
      <c r="AAS155" s="121"/>
      <c r="AAT155" s="121"/>
      <c r="AAU155" s="121"/>
      <c r="AAV155" s="121"/>
      <c r="AAW155" s="121"/>
      <c r="AAX155" s="121"/>
      <c r="AAY155" s="121"/>
      <c r="AAZ155" s="121"/>
      <c r="ABA155" s="121"/>
      <c r="ABB155" s="121"/>
      <c r="ABC155" s="121"/>
      <c r="ABD155" s="121"/>
      <c r="ABE155" s="121"/>
      <c r="ABF155" s="121"/>
      <c r="ABG155" s="121"/>
      <c r="ABH155" s="121"/>
      <c r="ABI155" s="121"/>
      <c r="ABJ155" s="121"/>
      <c r="ABK155" s="121"/>
      <c r="ABL155" s="121"/>
      <c r="ABM155" s="121"/>
      <c r="ABN155" s="121"/>
      <c r="ABO155" s="121"/>
      <c r="ABP155" s="121"/>
      <c r="ABQ155" s="121"/>
      <c r="ABR155" s="121"/>
      <c r="ABS155" s="121"/>
      <c r="ABT155" s="121"/>
      <c r="ABU155" s="121"/>
      <c r="ABV155" s="121"/>
      <c r="ABW155" s="121"/>
      <c r="ABX155" s="121"/>
      <c r="ABY155" s="121"/>
      <c r="ABZ155" s="121"/>
      <c r="ACA155" s="121"/>
      <c r="ACB155" s="121"/>
      <c r="ACC155" s="121"/>
      <c r="ACD155" s="121"/>
      <c r="ACE155" s="121"/>
      <c r="ACF155" s="121"/>
      <c r="ACG155" s="121"/>
      <c r="ACH155" s="121"/>
      <c r="ACI155" s="121"/>
      <c r="ACJ155" s="121"/>
      <c r="ACK155" s="121"/>
      <c r="ACL155" s="121"/>
      <c r="ACM155" s="121"/>
      <c r="ACN155" s="121"/>
      <c r="ACO155" s="121"/>
      <c r="ACP155" s="121"/>
      <c r="ACQ155" s="121"/>
      <c r="ACR155" s="121"/>
      <c r="ACS155" s="121"/>
      <c r="ACT155" s="121"/>
      <c r="ACU155" s="121"/>
      <c r="ACV155" s="121"/>
      <c r="ACW155" s="121"/>
      <c r="ACX155" s="121"/>
      <c r="ACY155" s="121"/>
      <c r="ACZ155" s="121"/>
      <c r="ADA155" s="121"/>
      <c r="ADB155" s="121"/>
      <c r="ADC155" s="121"/>
      <c r="ADD155" s="121"/>
      <c r="ADE155" s="121"/>
      <c r="ADF155" s="121"/>
      <c r="ADG155" s="121"/>
      <c r="ADH155" s="121"/>
      <c r="ADI155" s="121"/>
      <c r="ADJ155" s="121"/>
      <c r="ADK155" s="121"/>
      <c r="ADL155" s="121"/>
      <c r="ADM155" s="121"/>
      <c r="ADN155" s="121"/>
      <c r="ADO155" s="121"/>
      <c r="ADP155" s="121"/>
      <c r="ADQ155" s="121"/>
      <c r="ADR155" s="121"/>
      <c r="ADS155" s="121"/>
      <c r="ADT155" s="121"/>
      <c r="ADU155" s="121"/>
      <c r="ADV155" s="121"/>
      <c r="ADW155" s="121"/>
      <c r="ADX155" s="121"/>
      <c r="ADY155" s="121"/>
      <c r="ADZ155" s="121"/>
      <c r="AEA155" s="121"/>
      <c r="AEB155" s="121"/>
      <c r="AEC155" s="121"/>
      <c r="AED155" s="121"/>
      <c r="AEE155" s="121"/>
      <c r="AEF155" s="121"/>
      <c r="AEG155" s="121"/>
      <c r="AEH155" s="121"/>
      <c r="AEI155" s="121"/>
      <c r="AEJ155" s="121"/>
      <c r="AEK155" s="121"/>
      <c r="AEL155" s="121"/>
      <c r="AEM155" s="121"/>
      <c r="AEN155" s="121"/>
      <c r="AEO155" s="121"/>
      <c r="AEP155" s="121"/>
      <c r="AEQ155" s="121"/>
      <c r="AER155" s="121"/>
      <c r="AES155" s="121"/>
      <c r="AET155" s="121"/>
      <c r="AEU155" s="121"/>
      <c r="AEV155" s="121"/>
      <c r="AEW155" s="121"/>
      <c r="AEX155" s="121"/>
      <c r="AEY155" s="121"/>
      <c r="AEZ155" s="121"/>
      <c r="AFA155" s="121"/>
      <c r="AFB155" s="121"/>
      <c r="AFC155" s="121"/>
      <c r="AFD155" s="121"/>
      <c r="AFE155" s="121"/>
      <c r="AFF155" s="121"/>
      <c r="AFG155" s="121"/>
      <c r="AFH155" s="121"/>
      <c r="AFI155" s="121"/>
      <c r="AFJ155" s="121"/>
      <c r="AFK155" s="121"/>
      <c r="AFL155" s="121"/>
      <c r="AFM155" s="121"/>
      <c r="AFN155" s="121"/>
      <c r="AFO155" s="121"/>
      <c r="AFP155" s="121"/>
      <c r="AFQ155" s="121"/>
      <c r="AFR155" s="121"/>
      <c r="AFS155" s="121"/>
      <c r="AFT155" s="121"/>
      <c r="AFU155" s="121"/>
      <c r="AFV155" s="121"/>
      <c r="AFW155" s="121"/>
      <c r="AFX155" s="121"/>
      <c r="AFY155" s="121"/>
      <c r="AFZ155" s="121"/>
      <c r="AGA155" s="121"/>
      <c r="AGB155" s="121"/>
      <c r="AGC155" s="121"/>
      <c r="AGD155" s="121"/>
      <c r="AGE155" s="121"/>
    </row>
    <row r="156" spans="1:863" s="189" customFormat="1" ht="15.75" customHeight="1" x14ac:dyDescent="0.25">
      <c r="A156" s="390">
        <v>43374</v>
      </c>
      <c r="B156" s="357" t="s">
        <v>122</v>
      </c>
      <c r="C156" s="187" t="s">
        <v>31</v>
      </c>
      <c r="D156" s="187" t="s">
        <v>30</v>
      </c>
      <c r="E156" s="187" t="s">
        <v>81</v>
      </c>
      <c r="F156" s="187">
        <v>84</v>
      </c>
      <c r="G156" s="187">
        <v>144</v>
      </c>
      <c r="H156" s="491">
        <f>SUM(I156:I157)</f>
        <v>2900</v>
      </c>
      <c r="I156" s="187">
        <v>1450</v>
      </c>
      <c r="J156" s="187"/>
      <c r="K156" s="310" t="s">
        <v>397</v>
      </c>
      <c r="L156" s="311" t="s">
        <v>395</v>
      </c>
      <c r="M156" s="241"/>
      <c r="N156" s="89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1"/>
      <c r="BK156" s="121"/>
      <c r="BL156" s="121"/>
      <c r="BM156" s="121"/>
      <c r="BN156" s="121"/>
      <c r="BO156" s="121"/>
      <c r="BP156" s="121"/>
      <c r="BQ156" s="121"/>
      <c r="BR156" s="121"/>
      <c r="BS156" s="121"/>
      <c r="BT156" s="121"/>
      <c r="BU156" s="121"/>
      <c r="BV156" s="121"/>
      <c r="BW156" s="121"/>
      <c r="BX156" s="121"/>
      <c r="BY156" s="121"/>
      <c r="BZ156" s="121"/>
      <c r="CA156" s="121"/>
      <c r="CB156" s="121"/>
      <c r="CC156" s="121"/>
      <c r="CD156" s="121"/>
      <c r="CE156" s="121"/>
      <c r="CF156" s="121"/>
      <c r="CG156" s="121"/>
      <c r="CH156" s="121"/>
      <c r="CI156" s="121"/>
      <c r="CJ156" s="121"/>
      <c r="CK156" s="121"/>
      <c r="CL156" s="121"/>
      <c r="CM156" s="121"/>
      <c r="CN156" s="121"/>
      <c r="CO156" s="121"/>
      <c r="CP156" s="121"/>
      <c r="CQ156" s="121"/>
      <c r="CR156" s="121"/>
      <c r="CS156" s="121"/>
      <c r="CT156" s="121"/>
      <c r="CU156" s="121"/>
      <c r="CV156" s="121"/>
      <c r="CW156" s="121"/>
      <c r="CX156" s="121"/>
      <c r="CY156" s="121"/>
      <c r="CZ156" s="121"/>
      <c r="DA156" s="121"/>
      <c r="DB156" s="121"/>
      <c r="DC156" s="121"/>
      <c r="DD156" s="121"/>
      <c r="DE156" s="121"/>
      <c r="DF156" s="121"/>
      <c r="DG156" s="121"/>
      <c r="DH156" s="121"/>
      <c r="DI156" s="121"/>
      <c r="DJ156" s="121"/>
      <c r="DK156" s="121"/>
      <c r="DL156" s="121"/>
      <c r="DM156" s="121"/>
      <c r="DN156" s="121"/>
      <c r="DO156" s="121"/>
      <c r="DP156" s="121"/>
      <c r="DQ156" s="121"/>
      <c r="DR156" s="121"/>
      <c r="DS156" s="121"/>
      <c r="DT156" s="121"/>
      <c r="DU156" s="121"/>
      <c r="DV156" s="121"/>
      <c r="DW156" s="121"/>
      <c r="DX156" s="121"/>
      <c r="DY156" s="121"/>
      <c r="DZ156" s="121"/>
      <c r="EA156" s="121"/>
      <c r="EB156" s="121"/>
      <c r="EC156" s="121"/>
      <c r="ED156" s="121"/>
      <c r="EE156" s="121"/>
      <c r="EF156" s="121"/>
      <c r="EG156" s="121"/>
      <c r="EH156" s="121"/>
      <c r="EI156" s="121"/>
      <c r="EJ156" s="121"/>
      <c r="EK156" s="121"/>
      <c r="EL156" s="121"/>
      <c r="EM156" s="121"/>
      <c r="EN156" s="121"/>
      <c r="EO156" s="121"/>
      <c r="EP156" s="121"/>
      <c r="EQ156" s="121"/>
      <c r="ER156" s="121"/>
      <c r="ES156" s="121"/>
      <c r="ET156" s="121"/>
      <c r="EU156" s="121"/>
      <c r="EV156" s="121"/>
      <c r="EW156" s="121"/>
      <c r="EX156" s="121"/>
      <c r="EY156" s="121"/>
      <c r="EZ156" s="121"/>
      <c r="FA156" s="121"/>
      <c r="FB156" s="121"/>
      <c r="FC156" s="121"/>
      <c r="FD156" s="121"/>
      <c r="FE156" s="121"/>
      <c r="FF156" s="121"/>
      <c r="FG156" s="121"/>
      <c r="FH156" s="121"/>
      <c r="FI156" s="121"/>
      <c r="FJ156" s="121"/>
      <c r="FK156" s="121"/>
      <c r="FL156" s="121"/>
      <c r="FM156" s="121"/>
      <c r="FN156" s="121"/>
      <c r="FO156" s="121"/>
      <c r="FP156" s="121"/>
      <c r="FQ156" s="121"/>
      <c r="FR156" s="121"/>
      <c r="FS156" s="121"/>
      <c r="FT156" s="121"/>
      <c r="FU156" s="121"/>
      <c r="FV156" s="121"/>
      <c r="FW156" s="121"/>
      <c r="FX156" s="121"/>
      <c r="FY156" s="121"/>
      <c r="FZ156" s="121"/>
      <c r="GA156" s="121"/>
      <c r="GB156" s="121"/>
      <c r="GC156" s="121"/>
      <c r="GD156" s="121"/>
      <c r="GE156" s="121"/>
      <c r="GF156" s="121"/>
      <c r="GG156" s="121"/>
      <c r="GH156" s="121"/>
      <c r="GI156" s="121"/>
      <c r="GJ156" s="121"/>
      <c r="GK156" s="121"/>
      <c r="GL156" s="121"/>
      <c r="GM156" s="121"/>
      <c r="GN156" s="121"/>
      <c r="GO156" s="121"/>
      <c r="GP156" s="121"/>
      <c r="GQ156" s="121"/>
      <c r="GR156" s="121"/>
      <c r="GS156" s="121"/>
      <c r="GT156" s="121"/>
      <c r="GU156" s="121"/>
      <c r="GV156" s="121"/>
      <c r="GW156" s="121"/>
      <c r="GX156" s="121"/>
      <c r="GY156" s="121"/>
      <c r="GZ156" s="121"/>
      <c r="HA156" s="121"/>
      <c r="HB156" s="121"/>
      <c r="HC156" s="121"/>
      <c r="HD156" s="121"/>
      <c r="HE156" s="121"/>
      <c r="HF156" s="121"/>
      <c r="HG156" s="121"/>
      <c r="HH156" s="121"/>
      <c r="HI156" s="121"/>
      <c r="HJ156" s="121"/>
      <c r="HK156" s="121"/>
      <c r="HL156" s="121"/>
      <c r="HM156" s="121"/>
      <c r="HN156" s="121"/>
      <c r="HO156" s="121"/>
      <c r="HP156" s="121"/>
      <c r="HQ156" s="121"/>
      <c r="HR156" s="121"/>
      <c r="HS156" s="121"/>
      <c r="HT156" s="121"/>
      <c r="HU156" s="121"/>
      <c r="HV156" s="121"/>
      <c r="HW156" s="121"/>
      <c r="HX156" s="121"/>
      <c r="HY156" s="121"/>
      <c r="HZ156" s="121"/>
      <c r="IA156" s="121"/>
      <c r="IB156" s="121"/>
      <c r="IC156" s="121"/>
      <c r="ID156" s="121"/>
      <c r="IE156" s="121"/>
      <c r="IF156" s="121"/>
      <c r="IG156" s="121"/>
      <c r="IH156" s="121"/>
      <c r="II156" s="121"/>
      <c r="IJ156" s="121"/>
      <c r="IK156" s="121"/>
      <c r="IL156" s="121"/>
      <c r="IM156" s="121"/>
      <c r="IN156" s="121"/>
      <c r="IO156" s="121"/>
      <c r="IP156" s="121"/>
      <c r="IQ156" s="121"/>
      <c r="IR156" s="121"/>
      <c r="IS156" s="121"/>
      <c r="IT156" s="121"/>
      <c r="IU156" s="121"/>
      <c r="IV156" s="121"/>
      <c r="IW156" s="121"/>
      <c r="IX156" s="121"/>
      <c r="IY156" s="121"/>
      <c r="IZ156" s="121"/>
      <c r="JA156" s="121"/>
      <c r="JB156" s="121"/>
      <c r="JC156" s="121"/>
      <c r="JD156" s="121"/>
      <c r="JE156" s="121"/>
      <c r="JF156" s="121"/>
      <c r="JG156" s="121"/>
      <c r="JH156" s="121"/>
      <c r="JI156" s="121"/>
      <c r="JJ156" s="121"/>
      <c r="JK156" s="121"/>
      <c r="JL156" s="121"/>
      <c r="JM156" s="121"/>
      <c r="JN156" s="121"/>
      <c r="JO156" s="121"/>
      <c r="JP156" s="121"/>
      <c r="JQ156" s="121"/>
      <c r="JR156" s="121"/>
      <c r="JS156" s="121"/>
      <c r="JT156" s="121"/>
      <c r="JU156" s="121"/>
      <c r="JV156" s="121"/>
      <c r="JW156" s="121"/>
      <c r="JX156" s="121"/>
      <c r="JY156" s="121"/>
      <c r="JZ156" s="121"/>
      <c r="KA156" s="121"/>
      <c r="KB156" s="121"/>
      <c r="KC156" s="121"/>
      <c r="KD156" s="121"/>
      <c r="KE156" s="121"/>
      <c r="KF156" s="121"/>
      <c r="KG156" s="121"/>
      <c r="KH156" s="121"/>
      <c r="KI156" s="121"/>
      <c r="KJ156" s="121"/>
      <c r="KK156" s="121"/>
      <c r="KL156" s="121"/>
      <c r="KM156" s="121"/>
      <c r="KN156" s="121"/>
      <c r="KO156" s="121"/>
      <c r="KP156" s="121"/>
      <c r="KQ156" s="121"/>
      <c r="KR156" s="121"/>
      <c r="KS156" s="121"/>
      <c r="KT156" s="121"/>
      <c r="KU156" s="121"/>
      <c r="KV156" s="121"/>
      <c r="KW156" s="121"/>
      <c r="KX156" s="121"/>
      <c r="KY156" s="121"/>
      <c r="KZ156" s="121"/>
      <c r="LA156" s="121"/>
      <c r="LB156" s="121"/>
      <c r="LC156" s="121"/>
      <c r="LD156" s="121"/>
      <c r="LE156" s="121"/>
      <c r="LF156" s="121"/>
      <c r="LG156" s="121"/>
      <c r="LH156" s="121"/>
      <c r="LI156" s="121"/>
      <c r="LJ156" s="121"/>
      <c r="LK156" s="121"/>
      <c r="LL156" s="121"/>
      <c r="LM156" s="121"/>
      <c r="LN156" s="121"/>
      <c r="LO156" s="121"/>
      <c r="LP156" s="121"/>
      <c r="LQ156" s="121"/>
      <c r="LR156" s="121"/>
      <c r="LS156" s="121"/>
      <c r="LT156" s="121"/>
      <c r="LU156" s="121"/>
      <c r="LV156" s="121"/>
      <c r="LW156" s="121"/>
      <c r="LX156" s="121"/>
      <c r="LY156" s="121"/>
      <c r="LZ156" s="121"/>
      <c r="MA156" s="121"/>
      <c r="MB156" s="121"/>
      <c r="MC156" s="121"/>
      <c r="MD156" s="121"/>
      <c r="ME156" s="121"/>
      <c r="MF156" s="121"/>
      <c r="MG156" s="121"/>
      <c r="MH156" s="121"/>
      <c r="MI156" s="121"/>
      <c r="MJ156" s="121"/>
      <c r="MK156" s="121"/>
      <c r="ML156" s="121"/>
      <c r="MM156" s="121"/>
      <c r="MN156" s="121"/>
      <c r="MO156" s="121"/>
      <c r="MP156" s="121"/>
      <c r="MQ156" s="121"/>
      <c r="MR156" s="121"/>
      <c r="MS156" s="121"/>
      <c r="MT156" s="121"/>
      <c r="MU156" s="121"/>
      <c r="MV156" s="121"/>
      <c r="MW156" s="121"/>
      <c r="MX156" s="121"/>
      <c r="MY156" s="121"/>
      <c r="MZ156" s="121"/>
      <c r="NA156" s="121"/>
      <c r="NB156" s="121"/>
      <c r="NC156" s="121"/>
      <c r="ND156" s="121"/>
      <c r="NE156" s="121"/>
      <c r="NF156" s="121"/>
      <c r="NG156" s="121"/>
      <c r="NH156" s="121"/>
      <c r="NI156" s="121"/>
      <c r="NJ156" s="121"/>
      <c r="NK156" s="121"/>
      <c r="NL156" s="121"/>
      <c r="NM156" s="121"/>
      <c r="NN156" s="121"/>
      <c r="NO156" s="121"/>
      <c r="NP156" s="121"/>
      <c r="NQ156" s="121"/>
      <c r="NR156" s="121"/>
      <c r="NS156" s="121"/>
      <c r="NT156" s="121"/>
      <c r="NU156" s="121"/>
      <c r="NV156" s="121"/>
      <c r="NW156" s="121"/>
      <c r="NX156" s="121"/>
      <c r="NY156" s="121"/>
      <c r="NZ156" s="121"/>
      <c r="OA156" s="121"/>
      <c r="OB156" s="121"/>
      <c r="OC156" s="121"/>
      <c r="OD156" s="121"/>
      <c r="OE156" s="121"/>
      <c r="OF156" s="121"/>
      <c r="OG156" s="121"/>
      <c r="OH156" s="121"/>
      <c r="OI156" s="121"/>
      <c r="OJ156" s="121"/>
      <c r="OK156" s="121"/>
      <c r="OL156" s="121"/>
      <c r="OM156" s="121"/>
      <c r="ON156" s="121"/>
      <c r="OO156" s="121"/>
      <c r="OP156" s="121"/>
      <c r="OQ156" s="121"/>
      <c r="OR156" s="121"/>
      <c r="OS156" s="121"/>
      <c r="OT156" s="121"/>
      <c r="OU156" s="121"/>
      <c r="OV156" s="121"/>
      <c r="OW156" s="121"/>
      <c r="OX156" s="121"/>
      <c r="OY156" s="121"/>
      <c r="OZ156" s="121"/>
      <c r="PA156" s="121"/>
      <c r="PB156" s="121"/>
      <c r="PC156" s="121"/>
      <c r="PD156" s="121"/>
      <c r="PE156" s="121"/>
      <c r="PF156" s="121"/>
      <c r="PG156" s="121"/>
      <c r="PH156" s="121"/>
      <c r="PI156" s="121"/>
      <c r="PJ156" s="121"/>
      <c r="PK156" s="121"/>
      <c r="PL156" s="121"/>
      <c r="PM156" s="121"/>
      <c r="PN156" s="121"/>
      <c r="PO156" s="121"/>
      <c r="PP156" s="121"/>
      <c r="PQ156" s="121"/>
      <c r="PR156" s="121"/>
      <c r="PS156" s="121"/>
      <c r="PT156" s="121"/>
      <c r="PU156" s="121"/>
      <c r="PV156" s="121"/>
      <c r="PW156" s="121"/>
      <c r="PX156" s="121"/>
      <c r="PY156" s="121"/>
      <c r="PZ156" s="121"/>
      <c r="QA156" s="121"/>
      <c r="QB156" s="121"/>
      <c r="QC156" s="121"/>
      <c r="QD156" s="121"/>
      <c r="QE156" s="121"/>
      <c r="QF156" s="121"/>
      <c r="QG156" s="121"/>
      <c r="QH156" s="121"/>
      <c r="QI156" s="121"/>
      <c r="QJ156" s="121"/>
      <c r="QK156" s="121"/>
      <c r="QL156" s="121"/>
      <c r="QM156" s="121"/>
      <c r="QN156" s="121"/>
      <c r="QO156" s="121"/>
      <c r="QP156" s="121"/>
      <c r="QQ156" s="121"/>
      <c r="QR156" s="121"/>
      <c r="QS156" s="121"/>
      <c r="QT156" s="121"/>
      <c r="QU156" s="121"/>
      <c r="QV156" s="121"/>
      <c r="QW156" s="121"/>
      <c r="QX156" s="121"/>
      <c r="QY156" s="121"/>
      <c r="QZ156" s="121"/>
      <c r="RA156" s="121"/>
      <c r="RB156" s="121"/>
      <c r="RC156" s="121"/>
      <c r="RD156" s="121"/>
      <c r="RE156" s="121"/>
      <c r="RF156" s="121"/>
      <c r="RG156" s="121"/>
      <c r="RH156" s="121"/>
      <c r="RI156" s="121"/>
      <c r="RJ156" s="121"/>
      <c r="RK156" s="121"/>
      <c r="RL156" s="121"/>
      <c r="RM156" s="121"/>
      <c r="RN156" s="121"/>
      <c r="RO156" s="121"/>
      <c r="RP156" s="121"/>
      <c r="RQ156" s="121"/>
      <c r="RR156" s="121"/>
      <c r="RS156" s="121"/>
      <c r="RT156" s="121"/>
      <c r="RU156" s="121"/>
      <c r="RV156" s="121"/>
      <c r="RW156" s="121"/>
      <c r="RX156" s="121"/>
      <c r="RY156" s="121"/>
      <c r="RZ156" s="121"/>
      <c r="SA156" s="121"/>
      <c r="SB156" s="121"/>
      <c r="SC156" s="121"/>
      <c r="SD156" s="121"/>
      <c r="SE156" s="121"/>
      <c r="SF156" s="121"/>
      <c r="SG156" s="121"/>
      <c r="SH156" s="121"/>
      <c r="SI156" s="121"/>
      <c r="SJ156" s="121"/>
      <c r="SK156" s="121"/>
      <c r="SL156" s="121"/>
      <c r="SM156" s="121"/>
      <c r="SN156" s="121"/>
      <c r="SO156" s="121"/>
      <c r="SP156" s="121"/>
      <c r="SQ156" s="121"/>
      <c r="SR156" s="121"/>
      <c r="SS156" s="121"/>
      <c r="ST156" s="121"/>
      <c r="SU156" s="121"/>
      <c r="SV156" s="121"/>
      <c r="SW156" s="121"/>
      <c r="SX156" s="121"/>
      <c r="SY156" s="121"/>
      <c r="SZ156" s="121"/>
      <c r="TA156" s="121"/>
      <c r="TB156" s="121"/>
      <c r="TC156" s="121"/>
      <c r="TD156" s="121"/>
      <c r="TE156" s="121"/>
      <c r="TF156" s="121"/>
      <c r="TG156" s="121"/>
      <c r="TH156" s="121"/>
      <c r="TI156" s="121"/>
      <c r="TJ156" s="121"/>
      <c r="TK156" s="121"/>
      <c r="TL156" s="121"/>
      <c r="TM156" s="121"/>
      <c r="TN156" s="121"/>
      <c r="TO156" s="121"/>
      <c r="TP156" s="121"/>
      <c r="TQ156" s="121"/>
      <c r="TR156" s="121"/>
      <c r="TS156" s="121"/>
      <c r="TT156" s="121"/>
      <c r="TU156" s="121"/>
      <c r="TV156" s="121"/>
      <c r="TW156" s="121"/>
      <c r="TX156" s="121"/>
      <c r="TY156" s="121"/>
      <c r="TZ156" s="121"/>
      <c r="UA156" s="121"/>
      <c r="UB156" s="121"/>
      <c r="UC156" s="121"/>
      <c r="UD156" s="121"/>
      <c r="UE156" s="121"/>
      <c r="UF156" s="121"/>
      <c r="UG156" s="121"/>
      <c r="UH156" s="121"/>
      <c r="UI156" s="121"/>
      <c r="UJ156" s="121"/>
      <c r="UK156" s="121"/>
      <c r="UL156" s="121"/>
      <c r="UM156" s="121"/>
      <c r="UN156" s="121"/>
      <c r="UO156" s="121"/>
      <c r="UP156" s="121"/>
      <c r="UQ156" s="121"/>
      <c r="UR156" s="121"/>
      <c r="US156" s="121"/>
      <c r="UT156" s="121"/>
      <c r="UU156" s="121"/>
      <c r="UV156" s="121"/>
      <c r="UW156" s="121"/>
      <c r="UX156" s="121"/>
      <c r="UY156" s="121"/>
      <c r="UZ156" s="121"/>
      <c r="VA156" s="121"/>
      <c r="VB156" s="121"/>
      <c r="VC156" s="121"/>
      <c r="VD156" s="121"/>
      <c r="VE156" s="121"/>
      <c r="VF156" s="121"/>
      <c r="VG156" s="121"/>
      <c r="VH156" s="121"/>
      <c r="VI156" s="121"/>
      <c r="VJ156" s="121"/>
      <c r="VK156" s="121"/>
      <c r="VL156" s="121"/>
      <c r="VM156" s="121"/>
      <c r="VN156" s="121"/>
      <c r="VO156" s="121"/>
      <c r="VP156" s="121"/>
      <c r="VQ156" s="121"/>
      <c r="VR156" s="121"/>
      <c r="VS156" s="121"/>
      <c r="VT156" s="121"/>
      <c r="VU156" s="121"/>
      <c r="VV156" s="121"/>
      <c r="VW156" s="121"/>
      <c r="VX156" s="121"/>
      <c r="VY156" s="121"/>
      <c r="VZ156" s="121"/>
      <c r="WA156" s="121"/>
      <c r="WB156" s="121"/>
      <c r="WC156" s="121"/>
      <c r="WD156" s="121"/>
      <c r="WE156" s="121"/>
      <c r="WF156" s="121"/>
      <c r="WG156" s="121"/>
      <c r="WH156" s="121"/>
      <c r="WI156" s="121"/>
      <c r="WJ156" s="121"/>
      <c r="WK156" s="121"/>
      <c r="WL156" s="121"/>
      <c r="WM156" s="121"/>
      <c r="WN156" s="121"/>
      <c r="WO156" s="121"/>
      <c r="WP156" s="121"/>
      <c r="WQ156" s="121"/>
      <c r="WR156" s="121"/>
      <c r="WS156" s="121"/>
      <c r="WT156" s="121"/>
      <c r="WU156" s="121"/>
      <c r="WV156" s="121"/>
      <c r="WW156" s="121"/>
      <c r="WX156" s="121"/>
      <c r="WY156" s="121"/>
      <c r="WZ156" s="121"/>
      <c r="XA156" s="121"/>
      <c r="XB156" s="121"/>
      <c r="XC156" s="121"/>
      <c r="XD156" s="121"/>
      <c r="XE156" s="121"/>
      <c r="XF156" s="121"/>
      <c r="XG156" s="121"/>
      <c r="XH156" s="121"/>
      <c r="XI156" s="121"/>
      <c r="XJ156" s="121"/>
      <c r="XK156" s="121"/>
      <c r="XL156" s="121"/>
      <c r="XM156" s="121"/>
      <c r="XN156" s="121"/>
      <c r="XO156" s="121"/>
      <c r="XP156" s="121"/>
      <c r="XQ156" s="121"/>
      <c r="XR156" s="121"/>
      <c r="XS156" s="121"/>
      <c r="XT156" s="121"/>
      <c r="XU156" s="121"/>
      <c r="XV156" s="121"/>
      <c r="XW156" s="121"/>
      <c r="XX156" s="121"/>
      <c r="XY156" s="121"/>
      <c r="XZ156" s="121"/>
      <c r="YA156" s="121"/>
      <c r="YB156" s="121"/>
      <c r="YC156" s="121"/>
      <c r="YD156" s="121"/>
      <c r="YE156" s="121"/>
      <c r="YF156" s="121"/>
      <c r="YG156" s="121"/>
      <c r="YH156" s="121"/>
      <c r="YI156" s="121"/>
      <c r="YJ156" s="121"/>
      <c r="YK156" s="121"/>
      <c r="YL156" s="121"/>
      <c r="YM156" s="121"/>
      <c r="YN156" s="121"/>
      <c r="YO156" s="121"/>
      <c r="YP156" s="121"/>
      <c r="YQ156" s="121"/>
      <c r="YR156" s="121"/>
      <c r="YS156" s="121"/>
      <c r="YT156" s="121"/>
      <c r="YU156" s="121"/>
      <c r="YV156" s="121"/>
      <c r="YW156" s="121"/>
      <c r="YX156" s="121"/>
      <c r="YY156" s="121"/>
      <c r="YZ156" s="121"/>
      <c r="ZA156" s="121"/>
      <c r="ZB156" s="121"/>
      <c r="ZC156" s="121"/>
      <c r="ZD156" s="121"/>
      <c r="ZE156" s="121"/>
      <c r="ZF156" s="121"/>
      <c r="ZG156" s="121"/>
      <c r="ZH156" s="121"/>
      <c r="ZI156" s="121"/>
      <c r="ZJ156" s="121"/>
      <c r="ZK156" s="121"/>
      <c r="ZL156" s="121"/>
      <c r="ZM156" s="121"/>
      <c r="ZN156" s="121"/>
      <c r="ZO156" s="121"/>
      <c r="ZP156" s="121"/>
      <c r="ZQ156" s="121"/>
      <c r="ZR156" s="121"/>
      <c r="ZS156" s="121"/>
      <c r="ZT156" s="121"/>
      <c r="ZU156" s="121"/>
      <c r="ZV156" s="121"/>
      <c r="ZW156" s="121"/>
      <c r="ZX156" s="121"/>
      <c r="ZY156" s="121"/>
      <c r="ZZ156" s="121"/>
      <c r="AAA156" s="121"/>
      <c r="AAB156" s="121"/>
      <c r="AAC156" s="121"/>
      <c r="AAD156" s="121"/>
      <c r="AAE156" s="121"/>
      <c r="AAF156" s="121"/>
      <c r="AAG156" s="121"/>
      <c r="AAH156" s="121"/>
      <c r="AAI156" s="121"/>
      <c r="AAJ156" s="121"/>
      <c r="AAK156" s="121"/>
      <c r="AAL156" s="121"/>
      <c r="AAM156" s="121"/>
      <c r="AAN156" s="121"/>
      <c r="AAO156" s="121"/>
      <c r="AAP156" s="121"/>
      <c r="AAQ156" s="121"/>
      <c r="AAR156" s="121"/>
      <c r="AAS156" s="121"/>
      <c r="AAT156" s="121"/>
      <c r="AAU156" s="121"/>
      <c r="AAV156" s="121"/>
      <c r="AAW156" s="121"/>
      <c r="AAX156" s="121"/>
      <c r="AAY156" s="121"/>
      <c r="AAZ156" s="121"/>
      <c r="ABA156" s="121"/>
      <c r="ABB156" s="121"/>
      <c r="ABC156" s="121"/>
      <c r="ABD156" s="121"/>
      <c r="ABE156" s="121"/>
      <c r="ABF156" s="121"/>
      <c r="ABG156" s="121"/>
      <c r="ABH156" s="121"/>
      <c r="ABI156" s="121"/>
      <c r="ABJ156" s="121"/>
      <c r="ABK156" s="121"/>
      <c r="ABL156" s="121"/>
      <c r="ABM156" s="121"/>
      <c r="ABN156" s="121"/>
      <c r="ABO156" s="121"/>
      <c r="ABP156" s="121"/>
      <c r="ABQ156" s="121"/>
      <c r="ABR156" s="121"/>
      <c r="ABS156" s="121"/>
      <c r="ABT156" s="121"/>
      <c r="ABU156" s="121"/>
      <c r="ABV156" s="121"/>
      <c r="ABW156" s="121"/>
      <c r="ABX156" s="121"/>
      <c r="ABY156" s="121"/>
      <c r="ABZ156" s="121"/>
      <c r="ACA156" s="121"/>
      <c r="ACB156" s="121"/>
      <c r="ACC156" s="121"/>
      <c r="ACD156" s="121"/>
      <c r="ACE156" s="121"/>
      <c r="ACF156" s="121"/>
      <c r="ACG156" s="121"/>
      <c r="ACH156" s="121"/>
      <c r="ACI156" s="121"/>
      <c r="ACJ156" s="121"/>
      <c r="ACK156" s="121"/>
      <c r="ACL156" s="121"/>
      <c r="ACM156" s="121"/>
      <c r="ACN156" s="121"/>
      <c r="ACO156" s="121"/>
      <c r="ACP156" s="121"/>
      <c r="ACQ156" s="121"/>
      <c r="ACR156" s="121"/>
      <c r="ACS156" s="121"/>
      <c r="ACT156" s="121"/>
      <c r="ACU156" s="121"/>
      <c r="ACV156" s="121"/>
      <c r="ACW156" s="121"/>
      <c r="ACX156" s="121"/>
      <c r="ACY156" s="121"/>
      <c r="ACZ156" s="121"/>
      <c r="ADA156" s="121"/>
      <c r="ADB156" s="121"/>
      <c r="ADC156" s="121"/>
      <c r="ADD156" s="121"/>
      <c r="ADE156" s="121"/>
      <c r="ADF156" s="121"/>
      <c r="ADG156" s="121"/>
      <c r="ADH156" s="121"/>
      <c r="ADI156" s="121"/>
      <c r="ADJ156" s="121"/>
      <c r="ADK156" s="121"/>
      <c r="ADL156" s="121"/>
      <c r="ADM156" s="121"/>
      <c r="ADN156" s="121"/>
      <c r="ADO156" s="121"/>
      <c r="ADP156" s="121"/>
      <c r="ADQ156" s="121"/>
      <c r="ADR156" s="121"/>
      <c r="ADS156" s="121"/>
      <c r="ADT156" s="121"/>
      <c r="ADU156" s="121"/>
      <c r="ADV156" s="121"/>
      <c r="ADW156" s="121"/>
      <c r="ADX156" s="121"/>
      <c r="ADY156" s="121"/>
      <c r="ADZ156" s="121"/>
      <c r="AEA156" s="121"/>
      <c r="AEB156" s="121"/>
      <c r="AEC156" s="121"/>
      <c r="AED156" s="121"/>
      <c r="AEE156" s="121"/>
      <c r="AEF156" s="121"/>
      <c r="AEG156" s="121"/>
      <c r="AEH156" s="121"/>
      <c r="AEI156" s="121"/>
      <c r="AEJ156" s="121"/>
      <c r="AEK156" s="121"/>
      <c r="AEL156" s="121"/>
      <c r="AEM156" s="121"/>
      <c r="AEN156" s="121"/>
      <c r="AEO156" s="121"/>
      <c r="AEP156" s="121"/>
      <c r="AEQ156" s="121"/>
      <c r="AER156" s="121"/>
      <c r="AES156" s="121"/>
      <c r="AET156" s="121"/>
      <c r="AEU156" s="121"/>
      <c r="AEV156" s="121"/>
      <c r="AEW156" s="121"/>
      <c r="AEX156" s="121"/>
      <c r="AEY156" s="121"/>
      <c r="AEZ156" s="121"/>
      <c r="AFA156" s="121"/>
      <c r="AFB156" s="121"/>
      <c r="AFC156" s="121"/>
      <c r="AFD156" s="121"/>
      <c r="AFE156" s="121"/>
      <c r="AFF156" s="121"/>
      <c r="AFG156" s="121"/>
      <c r="AFH156" s="121"/>
      <c r="AFI156" s="121"/>
      <c r="AFJ156" s="121"/>
      <c r="AFK156" s="121"/>
      <c r="AFL156" s="121"/>
      <c r="AFM156" s="121"/>
      <c r="AFN156" s="121"/>
      <c r="AFO156" s="121"/>
      <c r="AFP156" s="121"/>
      <c r="AFQ156" s="121"/>
      <c r="AFR156" s="121"/>
      <c r="AFS156" s="121"/>
      <c r="AFT156" s="121"/>
      <c r="AFU156" s="121"/>
      <c r="AFV156" s="121"/>
      <c r="AFW156" s="121"/>
      <c r="AFX156" s="121"/>
      <c r="AFY156" s="121"/>
      <c r="AFZ156" s="121"/>
      <c r="AGA156" s="121"/>
      <c r="AGB156" s="121"/>
      <c r="AGC156" s="121"/>
      <c r="AGD156" s="121"/>
      <c r="AGE156" s="121"/>
    </row>
    <row r="157" spans="1:863" s="189" customFormat="1" ht="15.75" customHeight="1" x14ac:dyDescent="0.25">
      <c r="A157" s="390">
        <v>43374</v>
      </c>
      <c r="B157" s="357" t="s">
        <v>122</v>
      </c>
      <c r="C157" s="187" t="s">
        <v>31</v>
      </c>
      <c r="D157" s="187" t="s">
        <v>30</v>
      </c>
      <c r="E157" s="187" t="s">
        <v>81</v>
      </c>
      <c r="F157" s="187">
        <v>85</v>
      </c>
      <c r="G157" s="187">
        <v>144</v>
      </c>
      <c r="H157" s="492"/>
      <c r="I157" s="187">
        <v>1450</v>
      </c>
      <c r="J157" s="187"/>
      <c r="K157" s="310" t="s">
        <v>397</v>
      </c>
      <c r="L157" s="311" t="s">
        <v>395</v>
      </c>
      <c r="M157" s="241"/>
      <c r="N157" s="90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1"/>
      <c r="BK157" s="121"/>
      <c r="BL157" s="121"/>
      <c r="BM157" s="121"/>
      <c r="BN157" s="121"/>
      <c r="BO157" s="121"/>
      <c r="BP157" s="121"/>
      <c r="BQ157" s="121"/>
      <c r="BR157" s="121"/>
      <c r="BS157" s="121"/>
      <c r="BT157" s="121"/>
      <c r="BU157" s="121"/>
      <c r="BV157" s="121"/>
      <c r="BW157" s="121"/>
      <c r="BX157" s="121"/>
      <c r="BY157" s="121"/>
      <c r="BZ157" s="121"/>
      <c r="CA157" s="121"/>
      <c r="CB157" s="121"/>
      <c r="CC157" s="121"/>
      <c r="CD157" s="121"/>
      <c r="CE157" s="121"/>
      <c r="CF157" s="121"/>
      <c r="CG157" s="121"/>
      <c r="CH157" s="121"/>
      <c r="CI157" s="121"/>
      <c r="CJ157" s="121"/>
      <c r="CK157" s="121"/>
      <c r="CL157" s="121"/>
      <c r="CM157" s="121"/>
      <c r="CN157" s="121"/>
      <c r="CO157" s="121"/>
      <c r="CP157" s="121"/>
      <c r="CQ157" s="121"/>
      <c r="CR157" s="121"/>
      <c r="CS157" s="121"/>
      <c r="CT157" s="121"/>
      <c r="CU157" s="121"/>
      <c r="CV157" s="121"/>
      <c r="CW157" s="121"/>
      <c r="CX157" s="121"/>
      <c r="CY157" s="121"/>
      <c r="CZ157" s="121"/>
      <c r="DA157" s="121"/>
      <c r="DB157" s="121"/>
      <c r="DC157" s="121"/>
      <c r="DD157" s="121"/>
      <c r="DE157" s="121"/>
      <c r="DF157" s="121"/>
      <c r="DG157" s="121"/>
      <c r="DH157" s="121"/>
      <c r="DI157" s="121"/>
      <c r="DJ157" s="121"/>
      <c r="DK157" s="121"/>
      <c r="DL157" s="121"/>
      <c r="DM157" s="121"/>
      <c r="DN157" s="121"/>
      <c r="DO157" s="121"/>
      <c r="DP157" s="121"/>
      <c r="DQ157" s="121"/>
      <c r="DR157" s="121"/>
      <c r="DS157" s="121"/>
      <c r="DT157" s="121"/>
      <c r="DU157" s="121"/>
      <c r="DV157" s="121"/>
      <c r="DW157" s="121"/>
      <c r="DX157" s="121"/>
      <c r="DY157" s="121"/>
      <c r="DZ157" s="121"/>
      <c r="EA157" s="121"/>
      <c r="EB157" s="121"/>
      <c r="EC157" s="121"/>
      <c r="ED157" s="121"/>
      <c r="EE157" s="121"/>
      <c r="EF157" s="121"/>
      <c r="EG157" s="121"/>
      <c r="EH157" s="121"/>
      <c r="EI157" s="121"/>
      <c r="EJ157" s="121"/>
      <c r="EK157" s="121"/>
      <c r="EL157" s="121"/>
      <c r="EM157" s="121"/>
      <c r="EN157" s="121"/>
      <c r="EO157" s="121"/>
      <c r="EP157" s="121"/>
      <c r="EQ157" s="121"/>
      <c r="ER157" s="121"/>
      <c r="ES157" s="121"/>
      <c r="ET157" s="121"/>
      <c r="EU157" s="121"/>
      <c r="EV157" s="121"/>
      <c r="EW157" s="121"/>
      <c r="EX157" s="121"/>
      <c r="EY157" s="121"/>
      <c r="EZ157" s="121"/>
      <c r="FA157" s="121"/>
      <c r="FB157" s="121"/>
      <c r="FC157" s="121"/>
      <c r="FD157" s="121"/>
      <c r="FE157" s="121"/>
      <c r="FF157" s="121"/>
      <c r="FG157" s="121"/>
      <c r="FH157" s="121"/>
      <c r="FI157" s="121"/>
      <c r="FJ157" s="121"/>
      <c r="FK157" s="121"/>
      <c r="FL157" s="121"/>
      <c r="FM157" s="121"/>
      <c r="FN157" s="121"/>
      <c r="FO157" s="121"/>
      <c r="FP157" s="121"/>
      <c r="FQ157" s="121"/>
      <c r="FR157" s="121"/>
      <c r="FS157" s="121"/>
      <c r="FT157" s="121"/>
      <c r="FU157" s="121"/>
      <c r="FV157" s="121"/>
      <c r="FW157" s="121"/>
      <c r="FX157" s="121"/>
      <c r="FY157" s="121"/>
      <c r="FZ157" s="121"/>
      <c r="GA157" s="121"/>
      <c r="GB157" s="121"/>
      <c r="GC157" s="121"/>
      <c r="GD157" s="121"/>
      <c r="GE157" s="121"/>
      <c r="GF157" s="121"/>
      <c r="GG157" s="121"/>
      <c r="GH157" s="121"/>
      <c r="GI157" s="121"/>
      <c r="GJ157" s="121"/>
      <c r="GK157" s="121"/>
      <c r="GL157" s="121"/>
      <c r="GM157" s="121"/>
      <c r="GN157" s="121"/>
      <c r="GO157" s="121"/>
      <c r="GP157" s="121"/>
      <c r="GQ157" s="121"/>
      <c r="GR157" s="121"/>
      <c r="GS157" s="121"/>
      <c r="GT157" s="121"/>
      <c r="GU157" s="121"/>
      <c r="GV157" s="121"/>
      <c r="GW157" s="121"/>
      <c r="GX157" s="121"/>
      <c r="GY157" s="121"/>
      <c r="GZ157" s="121"/>
      <c r="HA157" s="121"/>
      <c r="HB157" s="121"/>
      <c r="HC157" s="121"/>
      <c r="HD157" s="121"/>
      <c r="HE157" s="121"/>
      <c r="HF157" s="121"/>
      <c r="HG157" s="121"/>
      <c r="HH157" s="121"/>
      <c r="HI157" s="121"/>
      <c r="HJ157" s="121"/>
      <c r="HK157" s="121"/>
      <c r="HL157" s="121"/>
      <c r="HM157" s="121"/>
      <c r="HN157" s="121"/>
      <c r="HO157" s="121"/>
      <c r="HP157" s="121"/>
      <c r="HQ157" s="121"/>
      <c r="HR157" s="121"/>
      <c r="HS157" s="121"/>
      <c r="HT157" s="121"/>
      <c r="HU157" s="121"/>
      <c r="HV157" s="121"/>
      <c r="HW157" s="121"/>
      <c r="HX157" s="121"/>
      <c r="HY157" s="121"/>
      <c r="HZ157" s="121"/>
      <c r="IA157" s="121"/>
      <c r="IB157" s="121"/>
      <c r="IC157" s="121"/>
      <c r="ID157" s="121"/>
      <c r="IE157" s="121"/>
      <c r="IF157" s="121"/>
      <c r="IG157" s="121"/>
      <c r="IH157" s="121"/>
      <c r="II157" s="121"/>
      <c r="IJ157" s="121"/>
      <c r="IK157" s="121"/>
      <c r="IL157" s="121"/>
      <c r="IM157" s="121"/>
      <c r="IN157" s="121"/>
      <c r="IO157" s="121"/>
      <c r="IP157" s="121"/>
      <c r="IQ157" s="121"/>
      <c r="IR157" s="121"/>
      <c r="IS157" s="121"/>
      <c r="IT157" s="121"/>
      <c r="IU157" s="121"/>
      <c r="IV157" s="121"/>
      <c r="IW157" s="121"/>
      <c r="IX157" s="121"/>
      <c r="IY157" s="121"/>
      <c r="IZ157" s="121"/>
      <c r="JA157" s="121"/>
      <c r="JB157" s="121"/>
      <c r="JC157" s="121"/>
      <c r="JD157" s="121"/>
      <c r="JE157" s="121"/>
      <c r="JF157" s="121"/>
      <c r="JG157" s="121"/>
      <c r="JH157" s="121"/>
      <c r="JI157" s="121"/>
      <c r="JJ157" s="121"/>
      <c r="JK157" s="121"/>
      <c r="JL157" s="121"/>
      <c r="JM157" s="121"/>
      <c r="JN157" s="121"/>
      <c r="JO157" s="121"/>
      <c r="JP157" s="121"/>
      <c r="JQ157" s="121"/>
      <c r="JR157" s="121"/>
      <c r="JS157" s="121"/>
      <c r="JT157" s="121"/>
      <c r="JU157" s="121"/>
      <c r="JV157" s="121"/>
      <c r="JW157" s="121"/>
      <c r="JX157" s="121"/>
      <c r="JY157" s="121"/>
      <c r="JZ157" s="121"/>
      <c r="KA157" s="121"/>
      <c r="KB157" s="121"/>
      <c r="KC157" s="121"/>
      <c r="KD157" s="121"/>
      <c r="KE157" s="121"/>
      <c r="KF157" s="121"/>
      <c r="KG157" s="121"/>
      <c r="KH157" s="121"/>
      <c r="KI157" s="121"/>
      <c r="KJ157" s="121"/>
      <c r="KK157" s="121"/>
      <c r="KL157" s="121"/>
      <c r="KM157" s="121"/>
      <c r="KN157" s="121"/>
      <c r="KO157" s="121"/>
      <c r="KP157" s="121"/>
      <c r="KQ157" s="121"/>
      <c r="KR157" s="121"/>
      <c r="KS157" s="121"/>
      <c r="KT157" s="121"/>
      <c r="KU157" s="121"/>
      <c r="KV157" s="121"/>
      <c r="KW157" s="121"/>
      <c r="KX157" s="121"/>
      <c r="KY157" s="121"/>
      <c r="KZ157" s="121"/>
      <c r="LA157" s="121"/>
      <c r="LB157" s="121"/>
      <c r="LC157" s="121"/>
      <c r="LD157" s="121"/>
      <c r="LE157" s="121"/>
      <c r="LF157" s="121"/>
      <c r="LG157" s="121"/>
      <c r="LH157" s="121"/>
      <c r="LI157" s="121"/>
      <c r="LJ157" s="121"/>
      <c r="LK157" s="121"/>
      <c r="LL157" s="121"/>
      <c r="LM157" s="121"/>
      <c r="LN157" s="121"/>
      <c r="LO157" s="121"/>
      <c r="LP157" s="121"/>
      <c r="LQ157" s="121"/>
      <c r="LR157" s="121"/>
      <c r="LS157" s="121"/>
      <c r="LT157" s="121"/>
      <c r="LU157" s="121"/>
      <c r="LV157" s="121"/>
      <c r="LW157" s="121"/>
      <c r="LX157" s="121"/>
      <c r="LY157" s="121"/>
      <c r="LZ157" s="121"/>
      <c r="MA157" s="121"/>
      <c r="MB157" s="121"/>
      <c r="MC157" s="121"/>
      <c r="MD157" s="121"/>
      <c r="ME157" s="121"/>
      <c r="MF157" s="121"/>
      <c r="MG157" s="121"/>
      <c r="MH157" s="121"/>
      <c r="MI157" s="121"/>
      <c r="MJ157" s="121"/>
      <c r="MK157" s="121"/>
      <c r="ML157" s="121"/>
      <c r="MM157" s="121"/>
      <c r="MN157" s="121"/>
      <c r="MO157" s="121"/>
      <c r="MP157" s="121"/>
      <c r="MQ157" s="121"/>
      <c r="MR157" s="121"/>
      <c r="MS157" s="121"/>
      <c r="MT157" s="121"/>
      <c r="MU157" s="121"/>
      <c r="MV157" s="121"/>
      <c r="MW157" s="121"/>
      <c r="MX157" s="121"/>
      <c r="MY157" s="121"/>
      <c r="MZ157" s="121"/>
      <c r="NA157" s="121"/>
      <c r="NB157" s="121"/>
      <c r="NC157" s="121"/>
      <c r="ND157" s="121"/>
      <c r="NE157" s="121"/>
      <c r="NF157" s="121"/>
      <c r="NG157" s="121"/>
      <c r="NH157" s="121"/>
      <c r="NI157" s="121"/>
      <c r="NJ157" s="121"/>
      <c r="NK157" s="121"/>
      <c r="NL157" s="121"/>
      <c r="NM157" s="121"/>
      <c r="NN157" s="121"/>
      <c r="NO157" s="121"/>
      <c r="NP157" s="121"/>
      <c r="NQ157" s="121"/>
      <c r="NR157" s="121"/>
      <c r="NS157" s="121"/>
      <c r="NT157" s="121"/>
      <c r="NU157" s="121"/>
      <c r="NV157" s="121"/>
      <c r="NW157" s="121"/>
      <c r="NX157" s="121"/>
      <c r="NY157" s="121"/>
      <c r="NZ157" s="121"/>
      <c r="OA157" s="121"/>
      <c r="OB157" s="121"/>
      <c r="OC157" s="121"/>
      <c r="OD157" s="121"/>
      <c r="OE157" s="121"/>
      <c r="OF157" s="121"/>
      <c r="OG157" s="121"/>
      <c r="OH157" s="121"/>
      <c r="OI157" s="121"/>
      <c r="OJ157" s="121"/>
      <c r="OK157" s="121"/>
      <c r="OL157" s="121"/>
      <c r="OM157" s="121"/>
      <c r="ON157" s="121"/>
      <c r="OO157" s="121"/>
      <c r="OP157" s="121"/>
      <c r="OQ157" s="121"/>
      <c r="OR157" s="121"/>
      <c r="OS157" s="121"/>
      <c r="OT157" s="121"/>
      <c r="OU157" s="121"/>
      <c r="OV157" s="121"/>
      <c r="OW157" s="121"/>
      <c r="OX157" s="121"/>
      <c r="OY157" s="121"/>
      <c r="OZ157" s="121"/>
      <c r="PA157" s="121"/>
      <c r="PB157" s="121"/>
      <c r="PC157" s="121"/>
      <c r="PD157" s="121"/>
      <c r="PE157" s="121"/>
      <c r="PF157" s="121"/>
      <c r="PG157" s="121"/>
      <c r="PH157" s="121"/>
      <c r="PI157" s="121"/>
      <c r="PJ157" s="121"/>
      <c r="PK157" s="121"/>
      <c r="PL157" s="121"/>
      <c r="PM157" s="121"/>
      <c r="PN157" s="121"/>
      <c r="PO157" s="121"/>
      <c r="PP157" s="121"/>
      <c r="PQ157" s="121"/>
      <c r="PR157" s="121"/>
      <c r="PS157" s="121"/>
      <c r="PT157" s="121"/>
      <c r="PU157" s="121"/>
      <c r="PV157" s="121"/>
      <c r="PW157" s="121"/>
      <c r="PX157" s="121"/>
      <c r="PY157" s="121"/>
      <c r="PZ157" s="121"/>
      <c r="QA157" s="121"/>
      <c r="QB157" s="121"/>
      <c r="QC157" s="121"/>
      <c r="QD157" s="121"/>
      <c r="QE157" s="121"/>
      <c r="QF157" s="121"/>
      <c r="QG157" s="121"/>
      <c r="QH157" s="121"/>
      <c r="QI157" s="121"/>
      <c r="QJ157" s="121"/>
      <c r="QK157" s="121"/>
      <c r="QL157" s="121"/>
      <c r="QM157" s="121"/>
      <c r="QN157" s="121"/>
      <c r="QO157" s="121"/>
      <c r="QP157" s="121"/>
      <c r="QQ157" s="121"/>
      <c r="QR157" s="121"/>
      <c r="QS157" s="121"/>
      <c r="QT157" s="121"/>
      <c r="QU157" s="121"/>
      <c r="QV157" s="121"/>
      <c r="QW157" s="121"/>
      <c r="QX157" s="121"/>
      <c r="QY157" s="121"/>
      <c r="QZ157" s="121"/>
      <c r="RA157" s="121"/>
      <c r="RB157" s="121"/>
      <c r="RC157" s="121"/>
      <c r="RD157" s="121"/>
      <c r="RE157" s="121"/>
      <c r="RF157" s="121"/>
      <c r="RG157" s="121"/>
      <c r="RH157" s="121"/>
      <c r="RI157" s="121"/>
      <c r="RJ157" s="121"/>
      <c r="RK157" s="121"/>
      <c r="RL157" s="121"/>
      <c r="RM157" s="121"/>
      <c r="RN157" s="121"/>
      <c r="RO157" s="121"/>
      <c r="RP157" s="121"/>
      <c r="RQ157" s="121"/>
      <c r="RR157" s="121"/>
      <c r="RS157" s="121"/>
      <c r="RT157" s="121"/>
      <c r="RU157" s="121"/>
      <c r="RV157" s="121"/>
      <c r="RW157" s="121"/>
      <c r="RX157" s="121"/>
      <c r="RY157" s="121"/>
      <c r="RZ157" s="121"/>
      <c r="SA157" s="121"/>
      <c r="SB157" s="121"/>
      <c r="SC157" s="121"/>
      <c r="SD157" s="121"/>
      <c r="SE157" s="121"/>
      <c r="SF157" s="121"/>
      <c r="SG157" s="121"/>
      <c r="SH157" s="121"/>
      <c r="SI157" s="121"/>
      <c r="SJ157" s="121"/>
      <c r="SK157" s="121"/>
      <c r="SL157" s="121"/>
      <c r="SM157" s="121"/>
      <c r="SN157" s="121"/>
      <c r="SO157" s="121"/>
      <c r="SP157" s="121"/>
      <c r="SQ157" s="121"/>
      <c r="SR157" s="121"/>
      <c r="SS157" s="121"/>
      <c r="ST157" s="121"/>
      <c r="SU157" s="121"/>
      <c r="SV157" s="121"/>
      <c r="SW157" s="121"/>
      <c r="SX157" s="121"/>
      <c r="SY157" s="121"/>
      <c r="SZ157" s="121"/>
      <c r="TA157" s="121"/>
      <c r="TB157" s="121"/>
      <c r="TC157" s="121"/>
      <c r="TD157" s="121"/>
      <c r="TE157" s="121"/>
      <c r="TF157" s="121"/>
      <c r="TG157" s="121"/>
      <c r="TH157" s="121"/>
      <c r="TI157" s="121"/>
      <c r="TJ157" s="121"/>
      <c r="TK157" s="121"/>
      <c r="TL157" s="121"/>
      <c r="TM157" s="121"/>
      <c r="TN157" s="121"/>
      <c r="TO157" s="121"/>
      <c r="TP157" s="121"/>
      <c r="TQ157" s="121"/>
      <c r="TR157" s="121"/>
      <c r="TS157" s="121"/>
      <c r="TT157" s="121"/>
      <c r="TU157" s="121"/>
      <c r="TV157" s="121"/>
      <c r="TW157" s="121"/>
      <c r="TX157" s="121"/>
      <c r="TY157" s="121"/>
      <c r="TZ157" s="121"/>
      <c r="UA157" s="121"/>
      <c r="UB157" s="121"/>
      <c r="UC157" s="121"/>
      <c r="UD157" s="121"/>
      <c r="UE157" s="121"/>
      <c r="UF157" s="121"/>
      <c r="UG157" s="121"/>
      <c r="UH157" s="121"/>
      <c r="UI157" s="121"/>
      <c r="UJ157" s="121"/>
      <c r="UK157" s="121"/>
      <c r="UL157" s="121"/>
      <c r="UM157" s="121"/>
      <c r="UN157" s="121"/>
      <c r="UO157" s="121"/>
      <c r="UP157" s="121"/>
      <c r="UQ157" s="121"/>
      <c r="UR157" s="121"/>
      <c r="US157" s="121"/>
      <c r="UT157" s="121"/>
      <c r="UU157" s="121"/>
      <c r="UV157" s="121"/>
      <c r="UW157" s="121"/>
      <c r="UX157" s="121"/>
      <c r="UY157" s="121"/>
      <c r="UZ157" s="121"/>
      <c r="VA157" s="121"/>
      <c r="VB157" s="121"/>
      <c r="VC157" s="121"/>
      <c r="VD157" s="121"/>
      <c r="VE157" s="121"/>
      <c r="VF157" s="121"/>
      <c r="VG157" s="121"/>
      <c r="VH157" s="121"/>
      <c r="VI157" s="121"/>
      <c r="VJ157" s="121"/>
      <c r="VK157" s="121"/>
      <c r="VL157" s="121"/>
      <c r="VM157" s="121"/>
      <c r="VN157" s="121"/>
      <c r="VO157" s="121"/>
      <c r="VP157" s="121"/>
      <c r="VQ157" s="121"/>
      <c r="VR157" s="121"/>
      <c r="VS157" s="121"/>
      <c r="VT157" s="121"/>
      <c r="VU157" s="121"/>
      <c r="VV157" s="121"/>
      <c r="VW157" s="121"/>
      <c r="VX157" s="121"/>
      <c r="VY157" s="121"/>
      <c r="VZ157" s="121"/>
      <c r="WA157" s="121"/>
      <c r="WB157" s="121"/>
      <c r="WC157" s="121"/>
      <c r="WD157" s="121"/>
      <c r="WE157" s="121"/>
      <c r="WF157" s="121"/>
      <c r="WG157" s="121"/>
      <c r="WH157" s="121"/>
      <c r="WI157" s="121"/>
      <c r="WJ157" s="121"/>
      <c r="WK157" s="121"/>
      <c r="WL157" s="121"/>
      <c r="WM157" s="121"/>
      <c r="WN157" s="121"/>
      <c r="WO157" s="121"/>
      <c r="WP157" s="121"/>
      <c r="WQ157" s="121"/>
      <c r="WR157" s="121"/>
      <c r="WS157" s="121"/>
      <c r="WT157" s="121"/>
      <c r="WU157" s="121"/>
      <c r="WV157" s="121"/>
      <c r="WW157" s="121"/>
      <c r="WX157" s="121"/>
      <c r="WY157" s="121"/>
      <c r="WZ157" s="121"/>
      <c r="XA157" s="121"/>
      <c r="XB157" s="121"/>
      <c r="XC157" s="121"/>
      <c r="XD157" s="121"/>
      <c r="XE157" s="121"/>
      <c r="XF157" s="121"/>
      <c r="XG157" s="121"/>
      <c r="XH157" s="121"/>
      <c r="XI157" s="121"/>
      <c r="XJ157" s="121"/>
      <c r="XK157" s="121"/>
      <c r="XL157" s="121"/>
      <c r="XM157" s="121"/>
      <c r="XN157" s="121"/>
      <c r="XO157" s="121"/>
      <c r="XP157" s="121"/>
      <c r="XQ157" s="121"/>
      <c r="XR157" s="121"/>
      <c r="XS157" s="121"/>
      <c r="XT157" s="121"/>
      <c r="XU157" s="121"/>
      <c r="XV157" s="121"/>
      <c r="XW157" s="121"/>
      <c r="XX157" s="121"/>
      <c r="XY157" s="121"/>
      <c r="XZ157" s="121"/>
      <c r="YA157" s="121"/>
      <c r="YB157" s="121"/>
      <c r="YC157" s="121"/>
      <c r="YD157" s="121"/>
      <c r="YE157" s="121"/>
      <c r="YF157" s="121"/>
      <c r="YG157" s="121"/>
      <c r="YH157" s="121"/>
      <c r="YI157" s="121"/>
      <c r="YJ157" s="121"/>
      <c r="YK157" s="121"/>
      <c r="YL157" s="121"/>
      <c r="YM157" s="121"/>
      <c r="YN157" s="121"/>
      <c r="YO157" s="121"/>
      <c r="YP157" s="121"/>
      <c r="YQ157" s="121"/>
      <c r="YR157" s="121"/>
      <c r="YS157" s="121"/>
      <c r="YT157" s="121"/>
      <c r="YU157" s="121"/>
      <c r="YV157" s="121"/>
      <c r="YW157" s="121"/>
      <c r="YX157" s="121"/>
      <c r="YY157" s="121"/>
      <c r="YZ157" s="121"/>
      <c r="ZA157" s="121"/>
      <c r="ZB157" s="121"/>
      <c r="ZC157" s="121"/>
      <c r="ZD157" s="121"/>
      <c r="ZE157" s="121"/>
      <c r="ZF157" s="121"/>
      <c r="ZG157" s="121"/>
      <c r="ZH157" s="121"/>
      <c r="ZI157" s="121"/>
      <c r="ZJ157" s="121"/>
      <c r="ZK157" s="121"/>
      <c r="ZL157" s="121"/>
      <c r="ZM157" s="121"/>
      <c r="ZN157" s="121"/>
      <c r="ZO157" s="121"/>
      <c r="ZP157" s="121"/>
      <c r="ZQ157" s="121"/>
      <c r="ZR157" s="121"/>
      <c r="ZS157" s="121"/>
      <c r="ZT157" s="121"/>
      <c r="ZU157" s="121"/>
      <c r="ZV157" s="121"/>
      <c r="ZW157" s="121"/>
      <c r="ZX157" s="121"/>
      <c r="ZY157" s="121"/>
      <c r="ZZ157" s="121"/>
      <c r="AAA157" s="121"/>
      <c r="AAB157" s="121"/>
      <c r="AAC157" s="121"/>
      <c r="AAD157" s="121"/>
      <c r="AAE157" s="121"/>
      <c r="AAF157" s="121"/>
      <c r="AAG157" s="121"/>
      <c r="AAH157" s="121"/>
      <c r="AAI157" s="121"/>
      <c r="AAJ157" s="121"/>
      <c r="AAK157" s="121"/>
      <c r="AAL157" s="121"/>
      <c r="AAM157" s="121"/>
      <c r="AAN157" s="121"/>
      <c r="AAO157" s="121"/>
      <c r="AAP157" s="121"/>
      <c r="AAQ157" s="121"/>
      <c r="AAR157" s="121"/>
      <c r="AAS157" s="121"/>
      <c r="AAT157" s="121"/>
      <c r="AAU157" s="121"/>
      <c r="AAV157" s="121"/>
      <c r="AAW157" s="121"/>
      <c r="AAX157" s="121"/>
      <c r="AAY157" s="121"/>
      <c r="AAZ157" s="121"/>
      <c r="ABA157" s="121"/>
      <c r="ABB157" s="121"/>
      <c r="ABC157" s="121"/>
      <c r="ABD157" s="121"/>
      <c r="ABE157" s="121"/>
      <c r="ABF157" s="121"/>
      <c r="ABG157" s="121"/>
      <c r="ABH157" s="121"/>
      <c r="ABI157" s="121"/>
      <c r="ABJ157" s="121"/>
      <c r="ABK157" s="121"/>
      <c r="ABL157" s="121"/>
      <c r="ABM157" s="121"/>
      <c r="ABN157" s="121"/>
      <c r="ABO157" s="121"/>
      <c r="ABP157" s="121"/>
      <c r="ABQ157" s="121"/>
      <c r="ABR157" s="121"/>
      <c r="ABS157" s="121"/>
      <c r="ABT157" s="121"/>
      <c r="ABU157" s="121"/>
      <c r="ABV157" s="121"/>
      <c r="ABW157" s="121"/>
      <c r="ABX157" s="121"/>
      <c r="ABY157" s="121"/>
      <c r="ABZ157" s="121"/>
      <c r="ACA157" s="121"/>
      <c r="ACB157" s="121"/>
      <c r="ACC157" s="121"/>
      <c r="ACD157" s="121"/>
      <c r="ACE157" s="121"/>
      <c r="ACF157" s="121"/>
      <c r="ACG157" s="121"/>
      <c r="ACH157" s="121"/>
      <c r="ACI157" s="121"/>
      <c r="ACJ157" s="121"/>
      <c r="ACK157" s="121"/>
      <c r="ACL157" s="121"/>
      <c r="ACM157" s="121"/>
      <c r="ACN157" s="121"/>
      <c r="ACO157" s="121"/>
      <c r="ACP157" s="121"/>
      <c r="ACQ157" s="121"/>
      <c r="ACR157" s="121"/>
      <c r="ACS157" s="121"/>
      <c r="ACT157" s="121"/>
      <c r="ACU157" s="121"/>
      <c r="ACV157" s="121"/>
      <c r="ACW157" s="121"/>
      <c r="ACX157" s="121"/>
      <c r="ACY157" s="121"/>
      <c r="ACZ157" s="121"/>
      <c r="ADA157" s="121"/>
      <c r="ADB157" s="121"/>
      <c r="ADC157" s="121"/>
      <c r="ADD157" s="121"/>
      <c r="ADE157" s="121"/>
      <c r="ADF157" s="121"/>
      <c r="ADG157" s="121"/>
      <c r="ADH157" s="121"/>
      <c r="ADI157" s="121"/>
      <c r="ADJ157" s="121"/>
      <c r="ADK157" s="121"/>
      <c r="ADL157" s="121"/>
      <c r="ADM157" s="121"/>
      <c r="ADN157" s="121"/>
      <c r="ADO157" s="121"/>
      <c r="ADP157" s="121"/>
      <c r="ADQ157" s="121"/>
      <c r="ADR157" s="121"/>
      <c r="ADS157" s="121"/>
      <c r="ADT157" s="121"/>
      <c r="ADU157" s="121"/>
      <c r="ADV157" s="121"/>
      <c r="ADW157" s="121"/>
      <c r="ADX157" s="121"/>
      <c r="ADY157" s="121"/>
      <c r="ADZ157" s="121"/>
      <c r="AEA157" s="121"/>
      <c r="AEB157" s="121"/>
      <c r="AEC157" s="121"/>
      <c r="AED157" s="121"/>
      <c r="AEE157" s="121"/>
      <c r="AEF157" s="121"/>
      <c r="AEG157" s="121"/>
      <c r="AEH157" s="121"/>
      <c r="AEI157" s="121"/>
      <c r="AEJ157" s="121"/>
      <c r="AEK157" s="121"/>
      <c r="AEL157" s="121"/>
      <c r="AEM157" s="121"/>
      <c r="AEN157" s="121"/>
      <c r="AEO157" s="121"/>
      <c r="AEP157" s="121"/>
      <c r="AEQ157" s="121"/>
      <c r="AER157" s="121"/>
      <c r="AES157" s="121"/>
      <c r="AET157" s="121"/>
      <c r="AEU157" s="121"/>
      <c r="AEV157" s="121"/>
      <c r="AEW157" s="121"/>
      <c r="AEX157" s="121"/>
      <c r="AEY157" s="121"/>
      <c r="AEZ157" s="121"/>
      <c r="AFA157" s="121"/>
      <c r="AFB157" s="121"/>
      <c r="AFC157" s="121"/>
      <c r="AFD157" s="121"/>
      <c r="AFE157" s="121"/>
      <c r="AFF157" s="121"/>
      <c r="AFG157" s="121"/>
      <c r="AFH157" s="121"/>
      <c r="AFI157" s="121"/>
      <c r="AFJ157" s="121"/>
      <c r="AFK157" s="121"/>
      <c r="AFL157" s="121"/>
      <c r="AFM157" s="121"/>
      <c r="AFN157" s="121"/>
      <c r="AFO157" s="121"/>
      <c r="AFP157" s="121"/>
      <c r="AFQ157" s="121"/>
      <c r="AFR157" s="121"/>
      <c r="AFS157" s="121"/>
      <c r="AFT157" s="121"/>
      <c r="AFU157" s="121"/>
      <c r="AFV157" s="121"/>
      <c r="AFW157" s="121"/>
      <c r="AFX157" s="121"/>
      <c r="AFY157" s="121"/>
      <c r="AFZ157" s="121"/>
      <c r="AGA157" s="121"/>
      <c r="AGB157" s="121"/>
      <c r="AGC157" s="121"/>
      <c r="AGD157" s="121"/>
      <c r="AGE157" s="121"/>
    </row>
    <row r="158" spans="1:863" s="189" customFormat="1" ht="15.75" customHeight="1" x14ac:dyDescent="0.25">
      <c r="A158" s="390">
        <v>43374</v>
      </c>
      <c r="B158" s="190" t="s">
        <v>123</v>
      </c>
      <c r="C158" s="187" t="s">
        <v>31</v>
      </c>
      <c r="D158" s="187" t="s">
        <v>30</v>
      </c>
      <c r="E158" s="187" t="s">
        <v>81</v>
      </c>
      <c r="F158" s="187">
        <v>88</v>
      </c>
      <c r="G158" s="187">
        <v>288</v>
      </c>
      <c r="H158" s="186">
        <v>2780</v>
      </c>
      <c r="I158" s="187">
        <v>2780</v>
      </c>
      <c r="J158" s="187"/>
      <c r="K158" s="310" t="s">
        <v>397</v>
      </c>
      <c r="L158" s="311" t="s">
        <v>395</v>
      </c>
      <c r="M158" s="241"/>
      <c r="N158" s="90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1"/>
      <c r="BK158" s="121"/>
      <c r="BL158" s="121"/>
      <c r="BM158" s="121"/>
      <c r="BN158" s="121"/>
      <c r="BO158" s="121"/>
      <c r="BP158" s="121"/>
      <c r="BQ158" s="121"/>
      <c r="BR158" s="121"/>
      <c r="BS158" s="121"/>
      <c r="BT158" s="121"/>
      <c r="BU158" s="121"/>
      <c r="BV158" s="121"/>
      <c r="BW158" s="121"/>
      <c r="BX158" s="121"/>
      <c r="BY158" s="121"/>
      <c r="BZ158" s="121"/>
      <c r="CA158" s="121"/>
      <c r="CB158" s="121"/>
      <c r="CC158" s="121"/>
      <c r="CD158" s="121"/>
      <c r="CE158" s="121"/>
      <c r="CF158" s="121"/>
      <c r="CG158" s="121"/>
      <c r="CH158" s="121"/>
      <c r="CI158" s="121"/>
      <c r="CJ158" s="121"/>
      <c r="CK158" s="121"/>
      <c r="CL158" s="121"/>
      <c r="CM158" s="121"/>
      <c r="CN158" s="121"/>
      <c r="CO158" s="121"/>
      <c r="CP158" s="121"/>
      <c r="CQ158" s="121"/>
      <c r="CR158" s="121"/>
      <c r="CS158" s="121"/>
      <c r="CT158" s="121"/>
      <c r="CU158" s="121"/>
      <c r="CV158" s="121"/>
      <c r="CW158" s="121"/>
      <c r="CX158" s="121"/>
      <c r="CY158" s="121"/>
      <c r="CZ158" s="121"/>
      <c r="DA158" s="121"/>
      <c r="DB158" s="121"/>
      <c r="DC158" s="121"/>
      <c r="DD158" s="121"/>
      <c r="DE158" s="121"/>
      <c r="DF158" s="121"/>
      <c r="DG158" s="121"/>
      <c r="DH158" s="121"/>
      <c r="DI158" s="121"/>
      <c r="DJ158" s="121"/>
      <c r="DK158" s="121"/>
      <c r="DL158" s="121"/>
      <c r="DM158" s="121"/>
      <c r="DN158" s="121"/>
      <c r="DO158" s="121"/>
      <c r="DP158" s="121"/>
      <c r="DQ158" s="121"/>
      <c r="DR158" s="121"/>
      <c r="DS158" s="121"/>
      <c r="DT158" s="121"/>
      <c r="DU158" s="121"/>
      <c r="DV158" s="121"/>
      <c r="DW158" s="121"/>
      <c r="DX158" s="121"/>
      <c r="DY158" s="121"/>
      <c r="DZ158" s="121"/>
      <c r="EA158" s="121"/>
      <c r="EB158" s="121"/>
      <c r="EC158" s="121"/>
      <c r="ED158" s="121"/>
      <c r="EE158" s="121"/>
      <c r="EF158" s="121"/>
      <c r="EG158" s="121"/>
      <c r="EH158" s="121"/>
      <c r="EI158" s="121"/>
      <c r="EJ158" s="121"/>
      <c r="EK158" s="121"/>
      <c r="EL158" s="121"/>
      <c r="EM158" s="121"/>
      <c r="EN158" s="121"/>
      <c r="EO158" s="121"/>
      <c r="EP158" s="121"/>
      <c r="EQ158" s="121"/>
      <c r="ER158" s="121"/>
      <c r="ES158" s="121"/>
      <c r="ET158" s="121"/>
      <c r="EU158" s="121"/>
      <c r="EV158" s="121"/>
      <c r="EW158" s="121"/>
      <c r="EX158" s="121"/>
      <c r="EY158" s="121"/>
      <c r="EZ158" s="121"/>
      <c r="FA158" s="121"/>
      <c r="FB158" s="121"/>
      <c r="FC158" s="121"/>
      <c r="FD158" s="121"/>
      <c r="FE158" s="121"/>
      <c r="FF158" s="121"/>
      <c r="FG158" s="121"/>
      <c r="FH158" s="121"/>
      <c r="FI158" s="121"/>
      <c r="FJ158" s="121"/>
      <c r="FK158" s="121"/>
      <c r="FL158" s="121"/>
      <c r="FM158" s="121"/>
      <c r="FN158" s="121"/>
      <c r="FO158" s="121"/>
      <c r="FP158" s="121"/>
      <c r="FQ158" s="121"/>
      <c r="FR158" s="121"/>
      <c r="FS158" s="121"/>
      <c r="FT158" s="121"/>
      <c r="FU158" s="121"/>
      <c r="FV158" s="121"/>
      <c r="FW158" s="121"/>
      <c r="FX158" s="121"/>
      <c r="FY158" s="121"/>
      <c r="FZ158" s="121"/>
      <c r="GA158" s="121"/>
      <c r="GB158" s="121"/>
      <c r="GC158" s="121"/>
      <c r="GD158" s="121"/>
      <c r="GE158" s="121"/>
      <c r="GF158" s="121"/>
      <c r="GG158" s="121"/>
      <c r="GH158" s="121"/>
      <c r="GI158" s="121"/>
      <c r="GJ158" s="121"/>
      <c r="GK158" s="121"/>
      <c r="GL158" s="121"/>
      <c r="GM158" s="121"/>
      <c r="GN158" s="121"/>
      <c r="GO158" s="121"/>
      <c r="GP158" s="121"/>
      <c r="GQ158" s="121"/>
      <c r="GR158" s="121"/>
      <c r="GS158" s="121"/>
      <c r="GT158" s="121"/>
      <c r="GU158" s="121"/>
      <c r="GV158" s="121"/>
      <c r="GW158" s="121"/>
      <c r="GX158" s="121"/>
      <c r="GY158" s="121"/>
      <c r="GZ158" s="121"/>
      <c r="HA158" s="121"/>
      <c r="HB158" s="121"/>
      <c r="HC158" s="121"/>
      <c r="HD158" s="121"/>
      <c r="HE158" s="121"/>
      <c r="HF158" s="121"/>
      <c r="HG158" s="121"/>
      <c r="HH158" s="121"/>
      <c r="HI158" s="121"/>
      <c r="HJ158" s="121"/>
      <c r="HK158" s="121"/>
      <c r="HL158" s="121"/>
      <c r="HM158" s="121"/>
      <c r="HN158" s="121"/>
      <c r="HO158" s="121"/>
      <c r="HP158" s="121"/>
      <c r="HQ158" s="121"/>
      <c r="HR158" s="121"/>
      <c r="HS158" s="121"/>
      <c r="HT158" s="121"/>
      <c r="HU158" s="121"/>
      <c r="HV158" s="121"/>
      <c r="HW158" s="121"/>
      <c r="HX158" s="121"/>
      <c r="HY158" s="121"/>
      <c r="HZ158" s="121"/>
      <c r="IA158" s="121"/>
      <c r="IB158" s="121"/>
      <c r="IC158" s="121"/>
      <c r="ID158" s="121"/>
      <c r="IE158" s="121"/>
      <c r="IF158" s="121"/>
      <c r="IG158" s="121"/>
      <c r="IH158" s="121"/>
      <c r="II158" s="121"/>
      <c r="IJ158" s="121"/>
      <c r="IK158" s="121"/>
      <c r="IL158" s="121"/>
      <c r="IM158" s="121"/>
      <c r="IN158" s="121"/>
      <c r="IO158" s="121"/>
      <c r="IP158" s="121"/>
      <c r="IQ158" s="121"/>
      <c r="IR158" s="121"/>
      <c r="IS158" s="121"/>
      <c r="IT158" s="121"/>
      <c r="IU158" s="121"/>
      <c r="IV158" s="121"/>
      <c r="IW158" s="121"/>
      <c r="IX158" s="121"/>
      <c r="IY158" s="121"/>
      <c r="IZ158" s="121"/>
      <c r="JA158" s="121"/>
      <c r="JB158" s="121"/>
      <c r="JC158" s="121"/>
      <c r="JD158" s="121"/>
      <c r="JE158" s="121"/>
      <c r="JF158" s="121"/>
      <c r="JG158" s="121"/>
      <c r="JH158" s="121"/>
      <c r="JI158" s="121"/>
      <c r="JJ158" s="121"/>
      <c r="JK158" s="121"/>
      <c r="JL158" s="121"/>
      <c r="JM158" s="121"/>
      <c r="JN158" s="121"/>
      <c r="JO158" s="121"/>
      <c r="JP158" s="121"/>
      <c r="JQ158" s="121"/>
      <c r="JR158" s="121"/>
      <c r="JS158" s="121"/>
      <c r="JT158" s="121"/>
      <c r="JU158" s="121"/>
      <c r="JV158" s="121"/>
      <c r="JW158" s="121"/>
      <c r="JX158" s="121"/>
      <c r="JY158" s="121"/>
      <c r="JZ158" s="121"/>
      <c r="KA158" s="121"/>
      <c r="KB158" s="121"/>
      <c r="KC158" s="121"/>
      <c r="KD158" s="121"/>
      <c r="KE158" s="121"/>
      <c r="KF158" s="121"/>
      <c r="KG158" s="121"/>
      <c r="KH158" s="121"/>
      <c r="KI158" s="121"/>
      <c r="KJ158" s="121"/>
      <c r="KK158" s="121"/>
      <c r="KL158" s="121"/>
      <c r="KM158" s="121"/>
      <c r="KN158" s="121"/>
      <c r="KO158" s="121"/>
      <c r="KP158" s="121"/>
      <c r="KQ158" s="121"/>
      <c r="KR158" s="121"/>
      <c r="KS158" s="121"/>
      <c r="KT158" s="121"/>
      <c r="KU158" s="121"/>
      <c r="KV158" s="121"/>
      <c r="KW158" s="121"/>
      <c r="KX158" s="121"/>
      <c r="KY158" s="121"/>
      <c r="KZ158" s="121"/>
      <c r="LA158" s="121"/>
      <c r="LB158" s="121"/>
      <c r="LC158" s="121"/>
      <c r="LD158" s="121"/>
      <c r="LE158" s="121"/>
      <c r="LF158" s="121"/>
      <c r="LG158" s="121"/>
      <c r="LH158" s="121"/>
      <c r="LI158" s="121"/>
      <c r="LJ158" s="121"/>
      <c r="LK158" s="121"/>
      <c r="LL158" s="121"/>
      <c r="LM158" s="121"/>
      <c r="LN158" s="121"/>
      <c r="LO158" s="121"/>
      <c r="LP158" s="121"/>
      <c r="LQ158" s="121"/>
      <c r="LR158" s="121"/>
      <c r="LS158" s="121"/>
      <c r="LT158" s="121"/>
      <c r="LU158" s="121"/>
      <c r="LV158" s="121"/>
      <c r="LW158" s="121"/>
      <c r="LX158" s="121"/>
      <c r="LY158" s="121"/>
      <c r="LZ158" s="121"/>
      <c r="MA158" s="121"/>
      <c r="MB158" s="121"/>
      <c r="MC158" s="121"/>
      <c r="MD158" s="121"/>
      <c r="ME158" s="121"/>
      <c r="MF158" s="121"/>
      <c r="MG158" s="121"/>
      <c r="MH158" s="121"/>
      <c r="MI158" s="121"/>
      <c r="MJ158" s="121"/>
      <c r="MK158" s="121"/>
      <c r="ML158" s="121"/>
      <c r="MM158" s="121"/>
      <c r="MN158" s="121"/>
      <c r="MO158" s="121"/>
      <c r="MP158" s="121"/>
      <c r="MQ158" s="121"/>
      <c r="MR158" s="121"/>
      <c r="MS158" s="121"/>
      <c r="MT158" s="121"/>
      <c r="MU158" s="121"/>
      <c r="MV158" s="121"/>
      <c r="MW158" s="121"/>
      <c r="MX158" s="121"/>
      <c r="MY158" s="121"/>
      <c r="MZ158" s="121"/>
      <c r="NA158" s="121"/>
      <c r="NB158" s="121"/>
      <c r="NC158" s="121"/>
      <c r="ND158" s="121"/>
      <c r="NE158" s="121"/>
      <c r="NF158" s="121"/>
      <c r="NG158" s="121"/>
      <c r="NH158" s="121"/>
      <c r="NI158" s="121"/>
      <c r="NJ158" s="121"/>
      <c r="NK158" s="121"/>
      <c r="NL158" s="121"/>
      <c r="NM158" s="121"/>
      <c r="NN158" s="121"/>
      <c r="NO158" s="121"/>
      <c r="NP158" s="121"/>
      <c r="NQ158" s="121"/>
      <c r="NR158" s="121"/>
      <c r="NS158" s="121"/>
      <c r="NT158" s="121"/>
      <c r="NU158" s="121"/>
      <c r="NV158" s="121"/>
      <c r="NW158" s="121"/>
      <c r="NX158" s="121"/>
      <c r="NY158" s="121"/>
      <c r="NZ158" s="121"/>
      <c r="OA158" s="121"/>
      <c r="OB158" s="121"/>
      <c r="OC158" s="121"/>
      <c r="OD158" s="121"/>
      <c r="OE158" s="121"/>
      <c r="OF158" s="121"/>
      <c r="OG158" s="121"/>
      <c r="OH158" s="121"/>
      <c r="OI158" s="121"/>
      <c r="OJ158" s="121"/>
      <c r="OK158" s="121"/>
      <c r="OL158" s="121"/>
      <c r="OM158" s="121"/>
      <c r="ON158" s="121"/>
      <c r="OO158" s="121"/>
      <c r="OP158" s="121"/>
      <c r="OQ158" s="121"/>
      <c r="OR158" s="121"/>
      <c r="OS158" s="121"/>
      <c r="OT158" s="121"/>
      <c r="OU158" s="121"/>
      <c r="OV158" s="121"/>
      <c r="OW158" s="121"/>
      <c r="OX158" s="121"/>
      <c r="OY158" s="121"/>
      <c r="OZ158" s="121"/>
      <c r="PA158" s="121"/>
      <c r="PB158" s="121"/>
      <c r="PC158" s="121"/>
      <c r="PD158" s="121"/>
      <c r="PE158" s="121"/>
      <c r="PF158" s="121"/>
      <c r="PG158" s="121"/>
      <c r="PH158" s="121"/>
      <c r="PI158" s="121"/>
      <c r="PJ158" s="121"/>
      <c r="PK158" s="121"/>
      <c r="PL158" s="121"/>
      <c r="PM158" s="121"/>
      <c r="PN158" s="121"/>
      <c r="PO158" s="121"/>
      <c r="PP158" s="121"/>
      <c r="PQ158" s="121"/>
      <c r="PR158" s="121"/>
      <c r="PS158" s="121"/>
      <c r="PT158" s="121"/>
      <c r="PU158" s="121"/>
      <c r="PV158" s="121"/>
      <c r="PW158" s="121"/>
      <c r="PX158" s="121"/>
      <c r="PY158" s="121"/>
      <c r="PZ158" s="121"/>
      <c r="QA158" s="121"/>
      <c r="QB158" s="121"/>
      <c r="QC158" s="121"/>
      <c r="QD158" s="121"/>
      <c r="QE158" s="121"/>
      <c r="QF158" s="121"/>
      <c r="QG158" s="121"/>
      <c r="QH158" s="121"/>
      <c r="QI158" s="121"/>
      <c r="QJ158" s="121"/>
      <c r="QK158" s="121"/>
      <c r="QL158" s="121"/>
      <c r="QM158" s="121"/>
      <c r="QN158" s="121"/>
      <c r="QO158" s="121"/>
      <c r="QP158" s="121"/>
      <c r="QQ158" s="121"/>
      <c r="QR158" s="121"/>
      <c r="QS158" s="121"/>
      <c r="QT158" s="121"/>
      <c r="QU158" s="121"/>
      <c r="QV158" s="121"/>
      <c r="QW158" s="121"/>
      <c r="QX158" s="121"/>
      <c r="QY158" s="121"/>
      <c r="QZ158" s="121"/>
      <c r="RA158" s="121"/>
      <c r="RB158" s="121"/>
      <c r="RC158" s="121"/>
      <c r="RD158" s="121"/>
      <c r="RE158" s="121"/>
      <c r="RF158" s="121"/>
      <c r="RG158" s="121"/>
      <c r="RH158" s="121"/>
      <c r="RI158" s="121"/>
      <c r="RJ158" s="121"/>
      <c r="RK158" s="121"/>
      <c r="RL158" s="121"/>
      <c r="RM158" s="121"/>
      <c r="RN158" s="121"/>
      <c r="RO158" s="121"/>
      <c r="RP158" s="121"/>
      <c r="RQ158" s="121"/>
      <c r="RR158" s="121"/>
      <c r="RS158" s="121"/>
      <c r="RT158" s="121"/>
      <c r="RU158" s="121"/>
      <c r="RV158" s="121"/>
      <c r="RW158" s="121"/>
      <c r="RX158" s="121"/>
      <c r="RY158" s="121"/>
      <c r="RZ158" s="121"/>
      <c r="SA158" s="121"/>
      <c r="SB158" s="121"/>
      <c r="SC158" s="121"/>
      <c r="SD158" s="121"/>
      <c r="SE158" s="121"/>
      <c r="SF158" s="121"/>
      <c r="SG158" s="121"/>
      <c r="SH158" s="121"/>
      <c r="SI158" s="121"/>
      <c r="SJ158" s="121"/>
      <c r="SK158" s="121"/>
      <c r="SL158" s="121"/>
      <c r="SM158" s="121"/>
      <c r="SN158" s="121"/>
      <c r="SO158" s="121"/>
      <c r="SP158" s="121"/>
      <c r="SQ158" s="121"/>
      <c r="SR158" s="121"/>
      <c r="SS158" s="121"/>
      <c r="ST158" s="121"/>
      <c r="SU158" s="121"/>
      <c r="SV158" s="121"/>
      <c r="SW158" s="121"/>
      <c r="SX158" s="121"/>
      <c r="SY158" s="121"/>
      <c r="SZ158" s="121"/>
      <c r="TA158" s="121"/>
      <c r="TB158" s="121"/>
      <c r="TC158" s="121"/>
      <c r="TD158" s="121"/>
      <c r="TE158" s="121"/>
      <c r="TF158" s="121"/>
      <c r="TG158" s="121"/>
      <c r="TH158" s="121"/>
      <c r="TI158" s="121"/>
      <c r="TJ158" s="121"/>
      <c r="TK158" s="121"/>
      <c r="TL158" s="121"/>
      <c r="TM158" s="121"/>
      <c r="TN158" s="121"/>
      <c r="TO158" s="121"/>
      <c r="TP158" s="121"/>
      <c r="TQ158" s="121"/>
      <c r="TR158" s="121"/>
      <c r="TS158" s="121"/>
      <c r="TT158" s="121"/>
      <c r="TU158" s="121"/>
      <c r="TV158" s="121"/>
      <c r="TW158" s="121"/>
      <c r="TX158" s="121"/>
      <c r="TY158" s="121"/>
      <c r="TZ158" s="121"/>
      <c r="UA158" s="121"/>
      <c r="UB158" s="121"/>
      <c r="UC158" s="121"/>
      <c r="UD158" s="121"/>
      <c r="UE158" s="121"/>
      <c r="UF158" s="121"/>
      <c r="UG158" s="121"/>
      <c r="UH158" s="121"/>
      <c r="UI158" s="121"/>
      <c r="UJ158" s="121"/>
      <c r="UK158" s="121"/>
      <c r="UL158" s="121"/>
      <c r="UM158" s="121"/>
      <c r="UN158" s="121"/>
      <c r="UO158" s="121"/>
      <c r="UP158" s="121"/>
      <c r="UQ158" s="121"/>
      <c r="UR158" s="121"/>
      <c r="US158" s="121"/>
      <c r="UT158" s="121"/>
      <c r="UU158" s="121"/>
      <c r="UV158" s="121"/>
      <c r="UW158" s="121"/>
      <c r="UX158" s="121"/>
      <c r="UY158" s="121"/>
      <c r="UZ158" s="121"/>
      <c r="VA158" s="121"/>
      <c r="VB158" s="121"/>
      <c r="VC158" s="121"/>
      <c r="VD158" s="121"/>
      <c r="VE158" s="121"/>
      <c r="VF158" s="121"/>
      <c r="VG158" s="121"/>
      <c r="VH158" s="121"/>
      <c r="VI158" s="121"/>
      <c r="VJ158" s="121"/>
      <c r="VK158" s="121"/>
      <c r="VL158" s="121"/>
      <c r="VM158" s="121"/>
      <c r="VN158" s="121"/>
      <c r="VO158" s="121"/>
      <c r="VP158" s="121"/>
      <c r="VQ158" s="121"/>
      <c r="VR158" s="121"/>
      <c r="VS158" s="121"/>
      <c r="VT158" s="121"/>
      <c r="VU158" s="121"/>
      <c r="VV158" s="121"/>
      <c r="VW158" s="121"/>
      <c r="VX158" s="121"/>
      <c r="VY158" s="121"/>
      <c r="VZ158" s="121"/>
      <c r="WA158" s="121"/>
      <c r="WB158" s="121"/>
      <c r="WC158" s="121"/>
      <c r="WD158" s="121"/>
      <c r="WE158" s="121"/>
      <c r="WF158" s="121"/>
      <c r="WG158" s="121"/>
      <c r="WH158" s="121"/>
      <c r="WI158" s="121"/>
      <c r="WJ158" s="121"/>
      <c r="WK158" s="121"/>
      <c r="WL158" s="121"/>
      <c r="WM158" s="121"/>
      <c r="WN158" s="121"/>
      <c r="WO158" s="121"/>
      <c r="WP158" s="121"/>
      <c r="WQ158" s="121"/>
      <c r="WR158" s="121"/>
      <c r="WS158" s="121"/>
      <c r="WT158" s="121"/>
      <c r="WU158" s="121"/>
      <c r="WV158" s="121"/>
      <c r="WW158" s="121"/>
      <c r="WX158" s="121"/>
      <c r="WY158" s="121"/>
      <c r="WZ158" s="121"/>
      <c r="XA158" s="121"/>
      <c r="XB158" s="121"/>
      <c r="XC158" s="121"/>
      <c r="XD158" s="121"/>
      <c r="XE158" s="121"/>
      <c r="XF158" s="121"/>
      <c r="XG158" s="121"/>
      <c r="XH158" s="121"/>
      <c r="XI158" s="121"/>
      <c r="XJ158" s="121"/>
      <c r="XK158" s="121"/>
      <c r="XL158" s="121"/>
      <c r="XM158" s="121"/>
      <c r="XN158" s="121"/>
      <c r="XO158" s="121"/>
      <c r="XP158" s="121"/>
      <c r="XQ158" s="121"/>
      <c r="XR158" s="121"/>
      <c r="XS158" s="121"/>
      <c r="XT158" s="121"/>
      <c r="XU158" s="121"/>
      <c r="XV158" s="121"/>
      <c r="XW158" s="121"/>
      <c r="XX158" s="121"/>
      <c r="XY158" s="121"/>
      <c r="XZ158" s="121"/>
      <c r="YA158" s="121"/>
      <c r="YB158" s="121"/>
      <c r="YC158" s="121"/>
      <c r="YD158" s="121"/>
      <c r="YE158" s="121"/>
      <c r="YF158" s="121"/>
      <c r="YG158" s="121"/>
      <c r="YH158" s="121"/>
      <c r="YI158" s="121"/>
      <c r="YJ158" s="121"/>
      <c r="YK158" s="121"/>
      <c r="YL158" s="121"/>
      <c r="YM158" s="121"/>
      <c r="YN158" s="121"/>
      <c r="YO158" s="121"/>
      <c r="YP158" s="121"/>
      <c r="YQ158" s="121"/>
      <c r="YR158" s="121"/>
      <c r="YS158" s="121"/>
      <c r="YT158" s="121"/>
      <c r="YU158" s="121"/>
      <c r="YV158" s="121"/>
      <c r="YW158" s="121"/>
      <c r="YX158" s="121"/>
      <c r="YY158" s="121"/>
      <c r="YZ158" s="121"/>
      <c r="ZA158" s="121"/>
      <c r="ZB158" s="121"/>
      <c r="ZC158" s="121"/>
      <c r="ZD158" s="121"/>
      <c r="ZE158" s="121"/>
      <c r="ZF158" s="121"/>
      <c r="ZG158" s="121"/>
      <c r="ZH158" s="121"/>
      <c r="ZI158" s="121"/>
      <c r="ZJ158" s="121"/>
      <c r="ZK158" s="121"/>
      <c r="ZL158" s="121"/>
      <c r="ZM158" s="121"/>
      <c r="ZN158" s="121"/>
      <c r="ZO158" s="121"/>
      <c r="ZP158" s="121"/>
      <c r="ZQ158" s="121"/>
      <c r="ZR158" s="121"/>
      <c r="ZS158" s="121"/>
      <c r="ZT158" s="121"/>
      <c r="ZU158" s="121"/>
      <c r="ZV158" s="121"/>
      <c r="ZW158" s="121"/>
      <c r="ZX158" s="121"/>
      <c r="ZY158" s="121"/>
      <c r="ZZ158" s="121"/>
      <c r="AAA158" s="121"/>
      <c r="AAB158" s="121"/>
      <c r="AAC158" s="121"/>
      <c r="AAD158" s="121"/>
      <c r="AAE158" s="121"/>
      <c r="AAF158" s="121"/>
      <c r="AAG158" s="121"/>
      <c r="AAH158" s="121"/>
      <c r="AAI158" s="121"/>
      <c r="AAJ158" s="121"/>
      <c r="AAK158" s="121"/>
      <c r="AAL158" s="121"/>
      <c r="AAM158" s="121"/>
      <c r="AAN158" s="121"/>
      <c r="AAO158" s="121"/>
      <c r="AAP158" s="121"/>
      <c r="AAQ158" s="121"/>
      <c r="AAR158" s="121"/>
      <c r="AAS158" s="121"/>
      <c r="AAT158" s="121"/>
      <c r="AAU158" s="121"/>
      <c r="AAV158" s="121"/>
      <c r="AAW158" s="121"/>
      <c r="AAX158" s="121"/>
      <c r="AAY158" s="121"/>
      <c r="AAZ158" s="121"/>
      <c r="ABA158" s="121"/>
      <c r="ABB158" s="121"/>
      <c r="ABC158" s="121"/>
      <c r="ABD158" s="121"/>
      <c r="ABE158" s="121"/>
      <c r="ABF158" s="121"/>
      <c r="ABG158" s="121"/>
      <c r="ABH158" s="121"/>
      <c r="ABI158" s="121"/>
      <c r="ABJ158" s="121"/>
      <c r="ABK158" s="121"/>
      <c r="ABL158" s="121"/>
      <c r="ABM158" s="121"/>
      <c r="ABN158" s="121"/>
      <c r="ABO158" s="121"/>
      <c r="ABP158" s="121"/>
      <c r="ABQ158" s="121"/>
      <c r="ABR158" s="121"/>
      <c r="ABS158" s="121"/>
      <c r="ABT158" s="121"/>
      <c r="ABU158" s="121"/>
      <c r="ABV158" s="121"/>
      <c r="ABW158" s="121"/>
      <c r="ABX158" s="121"/>
      <c r="ABY158" s="121"/>
      <c r="ABZ158" s="121"/>
      <c r="ACA158" s="121"/>
      <c r="ACB158" s="121"/>
      <c r="ACC158" s="121"/>
      <c r="ACD158" s="121"/>
      <c r="ACE158" s="121"/>
      <c r="ACF158" s="121"/>
      <c r="ACG158" s="121"/>
      <c r="ACH158" s="121"/>
      <c r="ACI158" s="121"/>
      <c r="ACJ158" s="121"/>
      <c r="ACK158" s="121"/>
      <c r="ACL158" s="121"/>
      <c r="ACM158" s="121"/>
      <c r="ACN158" s="121"/>
      <c r="ACO158" s="121"/>
      <c r="ACP158" s="121"/>
      <c r="ACQ158" s="121"/>
      <c r="ACR158" s="121"/>
      <c r="ACS158" s="121"/>
      <c r="ACT158" s="121"/>
      <c r="ACU158" s="121"/>
      <c r="ACV158" s="121"/>
      <c r="ACW158" s="121"/>
      <c r="ACX158" s="121"/>
      <c r="ACY158" s="121"/>
      <c r="ACZ158" s="121"/>
      <c r="ADA158" s="121"/>
      <c r="ADB158" s="121"/>
      <c r="ADC158" s="121"/>
      <c r="ADD158" s="121"/>
      <c r="ADE158" s="121"/>
      <c r="ADF158" s="121"/>
      <c r="ADG158" s="121"/>
      <c r="ADH158" s="121"/>
      <c r="ADI158" s="121"/>
      <c r="ADJ158" s="121"/>
      <c r="ADK158" s="121"/>
      <c r="ADL158" s="121"/>
      <c r="ADM158" s="121"/>
      <c r="ADN158" s="121"/>
      <c r="ADO158" s="121"/>
      <c r="ADP158" s="121"/>
      <c r="ADQ158" s="121"/>
      <c r="ADR158" s="121"/>
      <c r="ADS158" s="121"/>
      <c r="ADT158" s="121"/>
      <c r="ADU158" s="121"/>
      <c r="ADV158" s="121"/>
      <c r="ADW158" s="121"/>
      <c r="ADX158" s="121"/>
      <c r="ADY158" s="121"/>
      <c r="ADZ158" s="121"/>
      <c r="AEA158" s="121"/>
      <c r="AEB158" s="121"/>
      <c r="AEC158" s="121"/>
      <c r="AED158" s="121"/>
      <c r="AEE158" s="121"/>
      <c r="AEF158" s="121"/>
      <c r="AEG158" s="121"/>
      <c r="AEH158" s="121"/>
      <c r="AEI158" s="121"/>
      <c r="AEJ158" s="121"/>
      <c r="AEK158" s="121"/>
      <c r="AEL158" s="121"/>
      <c r="AEM158" s="121"/>
      <c r="AEN158" s="121"/>
      <c r="AEO158" s="121"/>
      <c r="AEP158" s="121"/>
      <c r="AEQ158" s="121"/>
      <c r="AER158" s="121"/>
      <c r="AES158" s="121"/>
      <c r="AET158" s="121"/>
      <c r="AEU158" s="121"/>
      <c r="AEV158" s="121"/>
      <c r="AEW158" s="121"/>
      <c r="AEX158" s="121"/>
      <c r="AEY158" s="121"/>
      <c r="AEZ158" s="121"/>
      <c r="AFA158" s="121"/>
      <c r="AFB158" s="121"/>
      <c r="AFC158" s="121"/>
      <c r="AFD158" s="121"/>
      <c r="AFE158" s="121"/>
      <c r="AFF158" s="121"/>
      <c r="AFG158" s="121"/>
      <c r="AFH158" s="121"/>
      <c r="AFI158" s="121"/>
      <c r="AFJ158" s="121"/>
      <c r="AFK158" s="121"/>
      <c r="AFL158" s="121"/>
      <c r="AFM158" s="121"/>
      <c r="AFN158" s="121"/>
      <c r="AFO158" s="121"/>
      <c r="AFP158" s="121"/>
      <c r="AFQ158" s="121"/>
      <c r="AFR158" s="121"/>
      <c r="AFS158" s="121"/>
      <c r="AFT158" s="121"/>
      <c r="AFU158" s="121"/>
      <c r="AFV158" s="121"/>
      <c r="AFW158" s="121"/>
      <c r="AFX158" s="121"/>
      <c r="AFY158" s="121"/>
      <c r="AFZ158" s="121"/>
      <c r="AGA158" s="121"/>
      <c r="AGB158" s="121"/>
      <c r="AGC158" s="121"/>
      <c r="AGD158" s="121"/>
      <c r="AGE158" s="121"/>
    </row>
    <row r="159" spans="1:863" s="189" customFormat="1" ht="15.75" customHeight="1" x14ac:dyDescent="0.25">
      <c r="A159" s="390">
        <v>43374</v>
      </c>
      <c r="B159" s="190" t="s">
        <v>124</v>
      </c>
      <c r="C159" s="187" t="s">
        <v>31</v>
      </c>
      <c r="D159" s="187" t="s">
        <v>30</v>
      </c>
      <c r="E159" s="187" t="s">
        <v>81</v>
      </c>
      <c r="F159" s="187">
        <v>88</v>
      </c>
      <c r="G159" s="187">
        <v>288</v>
      </c>
      <c r="H159" s="186">
        <v>2750</v>
      </c>
      <c r="I159" s="187">
        <v>2750</v>
      </c>
      <c r="J159" s="187"/>
      <c r="K159" s="310" t="s">
        <v>397</v>
      </c>
      <c r="L159" s="311" t="s">
        <v>395</v>
      </c>
      <c r="M159" s="241"/>
      <c r="N159" s="90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1"/>
      <c r="BK159" s="121"/>
      <c r="BL159" s="121"/>
      <c r="BM159" s="121"/>
      <c r="BN159" s="121"/>
      <c r="BO159" s="121"/>
      <c r="BP159" s="121"/>
      <c r="BQ159" s="121"/>
      <c r="BR159" s="121"/>
      <c r="BS159" s="121"/>
      <c r="BT159" s="121"/>
      <c r="BU159" s="121"/>
      <c r="BV159" s="121"/>
      <c r="BW159" s="121"/>
      <c r="BX159" s="121"/>
      <c r="BY159" s="121"/>
      <c r="BZ159" s="121"/>
      <c r="CA159" s="121"/>
      <c r="CB159" s="121"/>
      <c r="CC159" s="121"/>
      <c r="CD159" s="121"/>
      <c r="CE159" s="121"/>
      <c r="CF159" s="121"/>
      <c r="CG159" s="121"/>
      <c r="CH159" s="121"/>
      <c r="CI159" s="121"/>
      <c r="CJ159" s="121"/>
      <c r="CK159" s="121"/>
      <c r="CL159" s="121"/>
      <c r="CM159" s="121"/>
      <c r="CN159" s="121"/>
      <c r="CO159" s="121"/>
      <c r="CP159" s="121"/>
      <c r="CQ159" s="121"/>
      <c r="CR159" s="121"/>
      <c r="CS159" s="121"/>
      <c r="CT159" s="121"/>
      <c r="CU159" s="121"/>
      <c r="CV159" s="121"/>
      <c r="CW159" s="121"/>
      <c r="CX159" s="121"/>
      <c r="CY159" s="121"/>
      <c r="CZ159" s="121"/>
      <c r="DA159" s="121"/>
      <c r="DB159" s="121"/>
      <c r="DC159" s="121"/>
      <c r="DD159" s="121"/>
      <c r="DE159" s="121"/>
      <c r="DF159" s="121"/>
      <c r="DG159" s="121"/>
      <c r="DH159" s="121"/>
      <c r="DI159" s="121"/>
      <c r="DJ159" s="121"/>
      <c r="DK159" s="121"/>
      <c r="DL159" s="121"/>
      <c r="DM159" s="121"/>
      <c r="DN159" s="121"/>
      <c r="DO159" s="121"/>
      <c r="DP159" s="121"/>
      <c r="DQ159" s="121"/>
      <c r="DR159" s="121"/>
      <c r="DS159" s="121"/>
      <c r="DT159" s="121"/>
      <c r="DU159" s="121"/>
      <c r="DV159" s="121"/>
      <c r="DW159" s="121"/>
      <c r="DX159" s="121"/>
      <c r="DY159" s="121"/>
      <c r="DZ159" s="121"/>
      <c r="EA159" s="121"/>
      <c r="EB159" s="121"/>
      <c r="EC159" s="121"/>
      <c r="ED159" s="121"/>
      <c r="EE159" s="121"/>
      <c r="EF159" s="121"/>
      <c r="EG159" s="121"/>
      <c r="EH159" s="121"/>
      <c r="EI159" s="121"/>
      <c r="EJ159" s="121"/>
      <c r="EK159" s="121"/>
      <c r="EL159" s="121"/>
      <c r="EM159" s="121"/>
      <c r="EN159" s="121"/>
      <c r="EO159" s="121"/>
      <c r="EP159" s="121"/>
      <c r="EQ159" s="121"/>
      <c r="ER159" s="121"/>
      <c r="ES159" s="121"/>
      <c r="ET159" s="121"/>
      <c r="EU159" s="121"/>
      <c r="EV159" s="121"/>
      <c r="EW159" s="121"/>
      <c r="EX159" s="121"/>
      <c r="EY159" s="121"/>
      <c r="EZ159" s="121"/>
      <c r="FA159" s="121"/>
      <c r="FB159" s="121"/>
      <c r="FC159" s="121"/>
      <c r="FD159" s="121"/>
      <c r="FE159" s="121"/>
      <c r="FF159" s="121"/>
      <c r="FG159" s="121"/>
      <c r="FH159" s="121"/>
      <c r="FI159" s="121"/>
      <c r="FJ159" s="121"/>
      <c r="FK159" s="121"/>
      <c r="FL159" s="121"/>
      <c r="FM159" s="121"/>
      <c r="FN159" s="121"/>
      <c r="FO159" s="121"/>
      <c r="FP159" s="121"/>
      <c r="FQ159" s="121"/>
      <c r="FR159" s="121"/>
      <c r="FS159" s="121"/>
      <c r="FT159" s="121"/>
      <c r="FU159" s="121"/>
      <c r="FV159" s="121"/>
      <c r="FW159" s="121"/>
      <c r="FX159" s="121"/>
      <c r="FY159" s="121"/>
      <c r="FZ159" s="121"/>
      <c r="GA159" s="121"/>
      <c r="GB159" s="121"/>
      <c r="GC159" s="121"/>
      <c r="GD159" s="121"/>
      <c r="GE159" s="121"/>
      <c r="GF159" s="121"/>
      <c r="GG159" s="121"/>
      <c r="GH159" s="121"/>
      <c r="GI159" s="121"/>
      <c r="GJ159" s="121"/>
      <c r="GK159" s="121"/>
      <c r="GL159" s="121"/>
      <c r="GM159" s="121"/>
      <c r="GN159" s="121"/>
      <c r="GO159" s="121"/>
      <c r="GP159" s="121"/>
      <c r="GQ159" s="121"/>
      <c r="GR159" s="121"/>
      <c r="GS159" s="121"/>
      <c r="GT159" s="121"/>
      <c r="GU159" s="121"/>
      <c r="GV159" s="121"/>
      <c r="GW159" s="121"/>
      <c r="GX159" s="121"/>
      <c r="GY159" s="121"/>
      <c r="GZ159" s="121"/>
      <c r="HA159" s="121"/>
      <c r="HB159" s="121"/>
      <c r="HC159" s="121"/>
      <c r="HD159" s="121"/>
      <c r="HE159" s="121"/>
      <c r="HF159" s="121"/>
      <c r="HG159" s="121"/>
      <c r="HH159" s="121"/>
      <c r="HI159" s="121"/>
      <c r="HJ159" s="121"/>
      <c r="HK159" s="121"/>
      <c r="HL159" s="121"/>
      <c r="HM159" s="121"/>
      <c r="HN159" s="121"/>
      <c r="HO159" s="121"/>
      <c r="HP159" s="121"/>
      <c r="HQ159" s="121"/>
      <c r="HR159" s="121"/>
      <c r="HS159" s="121"/>
      <c r="HT159" s="121"/>
      <c r="HU159" s="121"/>
      <c r="HV159" s="121"/>
      <c r="HW159" s="121"/>
      <c r="HX159" s="121"/>
      <c r="HY159" s="121"/>
      <c r="HZ159" s="121"/>
      <c r="IA159" s="121"/>
      <c r="IB159" s="121"/>
      <c r="IC159" s="121"/>
      <c r="ID159" s="121"/>
      <c r="IE159" s="121"/>
      <c r="IF159" s="121"/>
      <c r="IG159" s="121"/>
      <c r="IH159" s="121"/>
      <c r="II159" s="121"/>
      <c r="IJ159" s="121"/>
      <c r="IK159" s="121"/>
      <c r="IL159" s="121"/>
      <c r="IM159" s="121"/>
      <c r="IN159" s="121"/>
      <c r="IO159" s="121"/>
      <c r="IP159" s="121"/>
      <c r="IQ159" s="121"/>
      <c r="IR159" s="121"/>
      <c r="IS159" s="121"/>
      <c r="IT159" s="121"/>
      <c r="IU159" s="121"/>
      <c r="IV159" s="121"/>
      <c r="IW159" s="121"/>
      <c r="IX159" s="121"/>
      <c r="IY159" s="121"/>
      <c r="IZ159" s="121"/>
      <c r="JA159" s="121"/>
      <c r="JB159" s="121"/>
      <c r="JC159" s="121"/>
      <c r="JD159" s="121"/>
      <c r="JE159" s="121"/>
      <c r="JF159" s="121"/>
      <c r="JG159" s="121"/>
      <c r="JH159" s="121"/>
      <c r="JI159" s="121"/>
      <c r="JJ159" s="121"/>
      <c r="JK159" s="121"/>
      <c r="JL159" s="121"/>
      <c r="JM159" s="121"/>
      <c r="JN159" s="121"/>
      <c r="JO159" s="121"/>
      <c r="JP159" s="121"/>
      <c r="JQ159" s="121"/>
      <c r="JR159" s="121"/>
      <c r="JS159" s="121"/>
      <c r="JT159" s="121"/>
      <c r="JU159" s="121"/>
      <c r="JV159" s="121"/>
      <c r="JW159" s="121"/>
      <c r="JX159" s="121"/>
      <c r="JY159" s="121"/>
      <c r="JZ159" s="121"/>
      <c r="KA159" s="121"/>
      <c r="KB159" s="121"/>
      <c r="KC159" s="121"/>
      <c r="KD159" s="121"/>
      <c r="KE159" s="121"/>
      <c r="KF159" s="121"/>
      <c r="KG159" s="121"/>
      <c r="KH159" s="121"/>
      <c r="KI159" s="121"/>
      <c r="KJ159" s="121"/>
      <c r="KK159" s="121"/>
      <c r="KL159" s="121"/>
      <c r="KM159" s="121"/>
      <c r="KN159" s="121"/>
      <c r="KO159" s="121"/>
      <c r="KP159" s="121"/>
      <c r="KQ159" s="121"/>
      <c r="KR159" s="121"/>
      <c r="KS159" s="121"/>
      <c r="KT159" s="121"/>
      <c r="KU159" s="121"/>
      <c r="KV159" s="121"/>
      <c r="KW159" s="121"/>
      <c r="KX159" s="121"/>
      <c r="KY159" s="121"/>
      <c r="KZ159" s="121"/>
      <c r="LA159" s="121"/>
      <c r="LB159" s="121"/>
      <c r="LC159" s="121"/>
      <c r="LD159" s="121"/>
      <c r="LE159" s="121"/>
      <c r="LF159" s="121"/>
      <c r="LG159" s="121"/>
      <c r="LH159" s="121"/>
      <c r="LI159" s="121"/>
      <c r="LJ159" s="121"/>
      <c r="LK159" s="121"/>
      <c r="LL159" s="121"/>
      <c r="LM159" s="121"/>
      <c r="LN159" s="121"/>
      <c r="LO159" s="121"/>
      <c r="LP159" s="121"/>
      <c r="LQ159" s="121"/>
      <c r="LR159" s="121"/>
      <c r="LS159" s="121"/>
      <c r="LT159" s="121"/>
      <c r="LU159" s="121"/>
      <c r="LV159" s="121"/>
      <c r="LW159" s="121"/>
      <c r="LX159" s="121"/>
      <c r="LY159" s="121"/>
      <c r="LZ159" s="121"/>
      <c r="MA159" s="121"/>
      <c r="MB159" s="121"/>
      <c r="MC159" s="121"/>
      <c r="MD159" s="121"/>
      <c r="ME159" s="121"/>
      <c r="MF159" s="121"/>
      <c r="MG159" s="121"/>
      <c r="MH159" s="121"/>
      <c r="MI159" s="121"/>
      <c r="MJ159" s="121"/>
      <c r="MK159" s="121"/>
      <c r="ML159" s="121"/>
      <c r="MM159" s="121"/>
      <c r="MN159" s="121"/>
      <c r="MO159" s="121"/>
      <c r="MP159" s="121"/>
      <c r="MQ159" s="121"/>
      <c r="MR159" s="121"/>
      <c r="MS159" s="121"/>
      <c r="MT159" s="121"/>
      <c r="MU159" s="121"/>
      <c r="MV159" s="121"/>
      <c r="MW159" s="121"/>
      <c r="MX159" s="121"/>
      <c r="MY159" s="121"/>
      <c r="MZ159" s="121"/>
      <c r="NA159" s="121"/>
      <c r="NB159" s="121"/>
      <c r="NC159" s="121"/>
      <c r="ND159" s="121"/>
      <c r="NE159" s="121"/>
      <c r="NF159" s="121"/>
      <c r="NG159" s="121"/>
      <c r="NH159" s="121"/>
      <c r="NI159" s="121"/>
      <c r="NJ159" s="121"/>
      <c r="NK159" s="121"/>
      <c r="NL159" s="121"/>
      <c r="NM159" s="121"/>
      <c r="NN159" s="121"/>
      <c r="NO159" s="121"/>
      <c r="NP159" s="121"/>
      <c r="NQ159" s="121"/>
      <c r="NR159" s="121"/>
      <c r="NS159" s="121"/>
      <c r="NT159" s="121"/>
      <c r="NU159" s="121"/>
      <c r="NV159" s="121"/>
      <c r="NW159" s="121"/>
      <c r="NX159" s="121"/>
      <c r="NY159" s="121"/>
      <c r="NZ159" s="121"/>
      <c r="OA159" s="121"/>
      <c r="OB159" s="121"/>
      <c r="OC159" s="121"/>
      <c r="OD159" s="121"/>
      <c r="OE159" s="121"/>
      <c r="OF159" s="121"/>
      <c r="OG159" s="121"/>
      <c r="OH159" s="121"/>
      <c r="OI159" s="121"/>
      <c r="OJ159" s="121"/>
      <c r="OK159" s="121"/>
      <c r="OL159" s="121"/>
      <c r="OM159" s="121"/>
      <c r="ON159" s="121"/>
      <c r="OO159" s="121"/>
      <c r="OP159" s="121"/>
      <c r="OQ159" s="121"/>
      <c r="OR159" s="121"/>
      <c r="OS159" s="121"/>
      <c r="OT159" s="121"/>
      <c r="OU159" s="121"/>
      <c r="OV159" s="121"/>
      <c r="OW159" s="121"/>
      <c r="OX159" s="121"/>
      <c r="OY159" s="121"/>
      <c r="OZ159" s="121"/>
      <c r="PA159" s="121"/>
      <c r="PB159" s="121"/>
      <c r="PC159" s="121"/>
      <c r="PD159" s="121"/>
      <c r="PE159" s="121"/>
      <c r="PF159" s="121"/>
      <c r="PG159" s="121"/>
      <c r="PH159" s="121"/>
      <c r="PI159" s="121"/>
      <c r="PJ159" s="121"/>
      <c r="PK159" s="121"/>
      <c r="PL159" s="121"/>
      <c r="PM159" s="121"/>
      <c r="PN159" s="121"/>
      <c r="PO159" s="121"/>
      <c r="PP159" s="121"/>
      <c r="PQ159" s="121"/>
      <c r="PR159" s="121"/>
      <c r="PS159" s="121"/>
      <c r="PT159" s="121"/>
      <c r="PU159" s="121"/>
      <c r="PV159" s="121"/>
      <c r="PW159" s="121"/>
      <c r="PX159" s="121"/>
      <c r="PY159" s="121"/>
      <c r="PZ159" s="121"/>
      <c r="QA159" s="121"/>
      <c r="QB159" s="121"/>
      <c r="QC159" s="121"/>
      <c r="QD159" s="121"/>
      <c r="QE159" s="121"/>
      <c r="QF159" s="121"/>
      <c r="QG159" s="121"/>
      <c r="QH159" s="121"/>
      <c r="QI159" s="121"/>
      <c r="QJ159" s="121"/>
      <c r="QK159" s="121"/>
      <c r="QL159" s="121"/>
      <c r="QM159" s="121"/>
      <c r="QN159" s="121"/>
      <c r="QO159" s="121"/>
      <c r="QP159" s="121"/>
      <c r="QQ159" s="121"/>
      <c r="QR159" s="121"/>
      <c r="QS159" s="121"/>
      <c r="QT159" s="121"/>
      <c r="QU159" s="121"/>
      <c r="QV159" s="121"/>
      <c r="QW159" s="121"/>
      <c r="QX159" s="121"/>
      <c r="QY159" s="121"/>
      <c r="QZ159" s="121"/>
      <c r="RA159" s="121"/>
      <c r="RB159" s="121"/>
      <c r="RC159" s="121"/>
      <c r="RD159" s="121"/>
      <c r="RE159" s="121"/>
      <c r="RF159" s="121"/>
      <c r="RG159" s="121"/>
      <c r="RH159" s="121"/>
      <c r="RI159" s="121"/>
      <c r="RJ159" s="121"/>
      <c r="RK159" s="121"/>
      <c r="RL159" s="121"/>
      <c r="RM159" s="121"/>
      <c r="RN159" s="121"/>
      <c r="RO159" s="121"/>
      <c r="RP159" s="121"/>
      <c r="RQ159" s="121"/>
      <c r="RR159" s="121"/>
      <c r="RS159" s="121"/>
      <c r="RT159" s="121"/>
      <c r="RU159" s="121"/>
      <c r="RV159" s="121"/>
      <c r="RW159" s="121"/>
      <c r="RX159" s="121"/>
      <c r="RY159" s="121"/>
      <c r="RZ159" s="121"/>
      <c r="SA159" s="121"/>
      <c r="SB159" s="121"/>
      <c r="SC159" s="121"/>
      <c r="SD159" s="121"/>
      <c r="SE159" s="121"/>
      <c r="SF159" s="121"/>
      <c r="SG159" s="121"/>
      <c r="SH159" s="121"/>
      <c r="SI159" s="121"/>
      <c r="SJ159" s="121"/>
      <c r="SK159" s="121"/>
      <c r="SL159" s="121"/>
      <c r="SM159" s="121"/>
      <c r="SN159" s="121"/>
      <c r="SO159" s="121"/>
      <c r="SP159" s="121"/>
      <c r="SQ159" s="121"/>
      <c r="SR159" s="121"/>
      <c r="SS159" s="121"/>
      <c r="ST159" s="121"/>
      <c r="SU159" s="121"/>
      <c r="SV159" s="121"/>
      <c r="SW159" s="121"/>
      <c r="SX159" s="121"/>
      <c r="SY159" s="121"/>
      <c r="SZ159" s="121"/>
      <c r="TA159" s="121"/>
      <c r="TB159" s="121"/>
      <c r="TC159" s="121"/>
      <c r="TD159" s="121"/>
      <c r="TE159" s="121"/>
      <c r="TF159" s="121"/>
      <c r="TG159" s="121"/>
      <c r="TH159" s="121"/>
      <c r="TI159" s="121"/>
      <c r="TJ159" s="121"/>
      <c r="TK159" s="121"/>
      <c r="TL159" s="121"/>
      <c r="TM159" s="121"/>
      <c r="TN159" s="121"/>
      <c r="TO159" s="121"/>
      <c r="TP159" s="121"/>
      <c r="TQ159" s="121"/>
      <c r="TR159" s="121"/>
      <c r="TS159" s="121"/>
      <c r="TT159" s="121"/>
      <c r="TU159" s="121"/>
      <c r="TV159" s="121"/>
      <c r="TW159" s="121"/>
      <c r="TX159" s="121"/>
      <c r="TY159" s="121"/>
      <c r="TZ159" s="121"/>
      <c r="UA159" s="121"/>
      <c r="UB159" s="121"/>
      <c r="UC159" s="121"/>
      <c r="UD159" s="121"/>
      <c r="UE159" s="121"/>
      <c r="UF159" s="121"/>
      <c r="UG159" s="121"/>
      <c r="UH159" s="121"/>
      <c r="UI159" s="121"/>
      <c r="UJ159" s="121"/>
      <c r="UK159" s="121"/>
      <c r="UL159" s="121"/>
      <c r="UM159" s="121"/>
      <c r="UN159" s="121"/>
      <c r="UO159" s="121"/>
      <c r="UP159" s="121"/>
      <c r="UQ159" s="121"/>
      <c r="UR159" s="121"/>
      <c r="US159" s="121"/>
      <c r="UT159" s="121"/>
      <c r="UU159" s="121"/>
      <c r="UV159" s="121"/>
      <c r="UW159" s="121"/>
      <c r="UX159" s="121"/>
      <c r="UY159" s="121"/>
      <c r="UZ159" s="121"/>
      <c r="VA159" s="121"/>
      <c r="VB159" s="121"/>
      <c r="VC159" s="121"/>
      <c r="VD159" s="121"/>
      <c r="VE159" s="121"/>
      <c r="VF159" s="121"/>
      <c r="VG159" s="121"/>
      <c r="VH159" s="121"/>
      <c r="VI159" s="121"/>
      <c r="VJ159" s="121"/>
      <c r="VK159" s="121"/>
      <c r="VL159" s="121"/>
      <c r="VM159" s="121"/>
      <c r="VN159" s="121"/>
      <c r="VO159" s="121"/>
      <c r="VP159" s="121"/>
      <c r="VQ159" s="121"/>
      <c r="VR159" s="121"/>
      <c r="VS159" s="121"/>
      <c r="VT159" s="121"/>
      <c r="VU159" s="121"/>
      <c r="VV159" s="121"/>
      <c r="VW159" s="121"/>
      <c r="VX159" s="121"/>
      <c r="VY159" s="121"/>
      <c r="VZ159" s="121"/>
      <c r="WA159" s="121"/>
      <c r="WB159" s="121"/>
      <c r="WC159" s="121"/>
      <c r="WD159" s="121"/>
      <c r="WE159" s="121"/>
      <c r="WF159" s="121"/>
      <c r="WG159" s="121"/>
      <c r="WH159" s="121"/>
      <c r="WI159" s="121"/>
      <c r="WJ159" s="121"/>
      <c r="WK159" s="121"/>
      <c r="WL159" s="121"/>
      <c r="WM159" s="121"/>
      <c r="WN159" s="121"/>
      <c r="WO159" s="121"/>
      <c r="WP159" s="121"/>
      <c r="WQ159" s="121"/>
      <c r="WR159" s="121"/>
      <c r="WS159" s="121"/>
      <c r="WT159" s="121"/>
      <c r="WU159" s="121"/>
      <c r="WV159" s="121"/>
      <c r="WW159" s="121"/>
      <c r="WX159" s="121"/>
      <c r="WY159" s="121"/>
      <c r="WZ159" s="121"/>
      <c r="XA159" s="121"/>
      <c r="XB159" s="121"/>
      <c r="XC159" s="121"/>
      <c r="XD159" s="121"/>
      <c r="XE159" s="121"/>
      <c r="XF159" s="121"/>
      <c r="XG159" s="121"/>
      <c r="XH159" s="121"/>
      <c r="XI159" s="121"/>
      <c r="XJ159" s="121"/>
      <c r="XK159" s="121"/>
      <c r="XL159" s="121"/>
      <c r="XM159" s="121"/>
      <c r="XN159" s="121"/>
      <c r="XO159" s="121"/>
      <c r="XP159" s="121"/>
      <c r="XQ159" s="121"/>
      <c r="XR159" s="121"/>
      <c r="XS159" s="121"/>
      <c r="XT159" s="121"/>
      <c r="XU159" s="121"/>
      <c r="XV159" s="121"/>
      <c r="XW159" s="121"/>
      <c r="XX159" s="121"/>
      <c r="XY159" s="121"/>
      <c r="XZ159" s="121"/>
      <c r="YA159" s="121"/>
      <c r="YB159" s="121"/>
      <c r="YC159" s="121"/>
      <c r="YD159" s="121"/>
      <c r="YE159" s="121"/>
      <c r="YF159" s="121"/>
      <c r="YG159" s="121"/>
      <c r="YH159" s="121"/>
      <c r="YI159" s="121"/>
      <c r="YJ159" s="121"/>
      <c r="YK159" s="121"/>
      <c r="YL159" s="121"/>
      <c r="YM159" s="121"/>
      <c r="YN159" s="121"/>
      <c r="YO159" s="121"/>
      <c r="YP159" s="121"/>
      <c r="YQ159" s="121"/>
      <c r="YR159" s="121"/>
      <c r="YS159" s="121"/>
      <c r="YT159" s="121"/>
      <c r="YU159" s="121"/>
      <c r="YV159" s="121"/>
      <c r="YW159" s="121"/>
      <c r="YX159" s="121"/>
      <c r="YY159" s="121"/>
      <c r="YZ159" s="121"/>
      <c r="ZA159" s="121"/>
      <c r="ZB159" s="121"/>
      <c r="ZC159" s="121"/>
      <c r="ZD159" s="121"/>
      <c r="ZE159" s="121"/>
      <c r="ZF159" s="121"/>
      <c r="ZG159" s="121"/>
      <c r="ZH159" s="121"/>
      <c r="ZI159" s="121"/>
      <c r="ZJ159" s="121"/>
      <c r="ZK159" s="121"/>
      <c r="ZL159" s="121"/>
      <c r="ZM159" s="121"/>
      <c r="ZN159" s="121"/>
      <c r="ZO159" s="121"/>
      <c r="ZP159" s="121"/>
      <c r="ZQ159" s="121"/>
      <c r="ZR159" s="121"/>
      <c r="ZS159" s="121"/>
      <c r="ZT159" s="121"/>
      <c r="ZU159" s="121"/>
      <c r="ZV159" s="121"/>
      <c r="ZW159" s="121"/>
      <c r="ZX159" s="121"/>
      <c r="ZY159" s="121"/>
      <c r="ZZ159" s="121"/>
      <c r="AAA159" s="121"/>
      <c r="AAB159" s="121"/>
      <c r="AAC159" s="121"/>
      <c r="AAD159" s="121"/>
      <c r="AAE159" s="121"/>
      <c r="AAF159" s="121"/>
      <c r="AAG159" s="121"/>
      <c r="AAH159" s="121"/>
      <c r="AAI159" s="121"/>
      <c r="AAJ159" s="121"/>
      <c r="AAK159" s="121"/>
      <c r="AAL159" s="121"/>
      <c r="AAM159" s="121"/>
      <c r="AAN159" s="121"/>
      <c r="AAO159" s="121"/>
      <c r="AAP159" s="121"/>
      <c r="AAQ159" s="121"/>
      <c r="AAR159" s="121"/>
      <c r="AAS159" s="121"/>
      <c r="AAT159" s="121"/>
      <c r="AAU159" s="121"/>
      <c r="AAV159" s="121"/>
      <c r="AAW159" s="121"/>
      <c r="AAX159" s="121"/>
      <c r="AAY159" s="121"/>
      <c r="AAZ159" s="121"/>
      <c r="ABA159" s="121"/>
      <c r="ABB159" s="121"/>
      <c r="ABC159" s="121"/>
      <c r="ABD159" s="121"/>
      <c r="ABE159" s="121"/>
      <c r="ABF159" s="121"/>
      <c r="ABG159" s="121"/>
      <c r="ABH159" s="121"/>
      <c r="ABI159" s="121"/>
      <c r="ABJ159" s="121"/>
      <c r="ABK159" s="121"/>
      <c r="ABL159" s="121"/>
      <c r="ABM159" s="121"/>
      <c r="ABN159" s="121"/>
      <c r="ABO159" s="121"/>
      <c r="ABP159" s="121"/>
      <c r="ABQ159" s="121"/>
      <c r="ABR159" s="121"/>
      <c r="ABS159" s="121"/>
      <c r="ABT159" s="121"/>
      <c r="ABU159" s="121"/>
      <c r="ABV159" s="121"/>
      <c r="ABW159" s="121"/>
      <c r="ABX159" s="121"/>
      <c r="ABY159" s="121"/>
      <c r="ABZ159" s="121"/>
      <c r="ACA159" s="121"/>
      <c r="ACB159" s="121"/>
      <c r="ACC159" s="121"/>
      <c r="ACD159" s="121"/>
      <c r="ACE159" s="121"/>
      <c r="ACF159" s="121"/>
      <c r="ACG159" s="121"/>
      <c r="ACH159" s="121"/>
      <c r="ACI159" s="121"/>
      <c r="ACJ159" s="121"/>
      <c r="ACK159" s="121"/>
      <c r="ACL159" s="121"/>
      <c r="ACM159" s="121"/>
      <c r="ACN159" s="121"/>
      <c r="ACO159" s="121"/>
      <c r="ACP159" s="121"/>
      <c r="ACQ159" s="121"/>
      <c r="ACR159" s="121"/>
      <c r="ACS159" s="121"/>
      <c r="ACT159" s="121"/>
      <c r="ACU159" s="121"/>
      <c r="ACV159" s="121"/>
      <c r="ACW159" s="121"/>
      <c r="ACX159" s="121"/>
      <c r="ACY159" s="121"/>
      <c r="ACZ159" s="121"/>
      <c r="ADA159" s="121"/>
      <c r="ADB159" s="121"/>
      <c r="ADC159" s="121"/>
      <c r="ADD159" s="121"/>
      <c r="ADE159" s="121"/>
      <c r="ADF159" s="121"/>
      <c r="ADG159" s="121"/>
      <c r="ADH159" s="121"/>
      <c r="ADI159" s="121"/>
      <c r="ADJ159" s="121"/>
      <c r="ADK159" s="121"/>
      <c r="ADL159" s="121"/>
      <c r="ADM159" s="121"/>
      <c r="ADN159" s="121"/>
      <c r="ADO159" s="121"/>
      <c r="ADP159" s="121"/>
      <c r="ADQ159" s="121"/>
      <c r="ADR159" s="121"/>
      <c r="ADS159" s="121"/>
      <c r="ADT159" s="121"/>
      <c r="ADU159" s="121"/>
      <c r="ADV159" s="121"/>
      <c r="ADW159" s="121"/>
      <c r="ADX159" s="121"/>
      <c r="ADY159" s="121"/>
      <c r="ADZ159" s="121"/>
      <c r="AEA159" s="121"/>
      <c r="AEB159" s="121"/>
      <c r="AEC159" s="121"/>
      <c r="AED159" s="121"/>
      <c r="AEE159" s="121"/>
      <c r="AEF159" s="121"/>
      <c r="AEG159" s="121"/>
      <c r="AEH159" s="121"/>
      <c r="AEI159" s="121"/>
      <c r="AEJ159" s="121"/>
      <c r="AEK159" s="121"/>
      <c r="AEL159" s="121"/>
      <c r="AEM159" s="121"/>
      <c r="AEN159" s="121"/>
      <c r="AEO159" s="121"/>
      <c r="AEP159" s="121"/>
      <c r="AEQ159" s="121"/>
      <c r="AER159" s="121"/>
      <c r="AES159" s="121"/>
      <c r="AET159" s="121"/>
      <c r="AEU159" s="121"/>
      <c r="AEV159" s="121"/>
      <c r="AEW159" s="121"/>
      <c r="AEX159" s="121"/>
      <c r="AEY159" s="121"/>
      <c r="AEZ159" s="121"/>
      <c r="AFA159" s="121"/>
      <c r="AFB159" s="121"/>
      <c r="AFC159" s="121"/>
      <c r="AFD159" s="121"/>
      <c r="AFE159" s="121"/>
      <c r="AFF159" s="121"/>
      <c r="AFG159" s="121"/>
      <c r="AFH159" s="121"/>
      <c r="AFI159" s="121"/>
      <c r="AFJ159" s="121"/>
      <c r="AFK159" s="121"/>
      <c r="AFL159" s="121"/>
      <c r="AFM159" s="121"/>
      <c r="AFN159" s="121"/>
      <c r="AFO159" s="121"/>
      <c r="AFP159" s="121"/>
      <c r="AFQ159" s="121"/>
      <c r="AFR159" s="121"/>
      <c r="AFS159" s="121"/>
      <c r="AFT159" s="121"/>
      <c r="AFU159" s="121"/>
      <c r="AFV159" s="121"/>
      <c r="AFW159" s="121"/>
      <c r="AFX159" s="121"/>
      <c r="AFY159" s="121"/>
      <c r="AFZ159" s="121"/>
      <c r="AGA159" s="121"/>
      <c r="AGB159" s="121"/>
      <c r="AGC159" s="121"/>
      <c r="AGD159" s="121"/>
      <c r="AGE159" s="121"/>
    </row>
    <row r="160" spans="1:863" ht="16.5" customHeight="1" x14ac:dyDescent="0.3">
      <c r="A160" s="390">
        <v>43374</v>
      </c>
      <c r="B160" s="248" t="s">
        <v>125</v>
      </c>
      <c r="C160" s="249" t="s">
        <v>31</v>
      </c>
      <c r="D160" s="249" t="s">
        <v>30</v>
      </c>
      <c r="E160" s="249" t="s">
        <v>81</v>
      </c>
      <c r="F160" s="249">
        <v>88</v>
      </c>
      <c r="G160" s="249">
        <v>360</v>
      </c>
      <c r="H160" s="247">
        <v>3550</v>
      </c>
      <c r="I160" s="249">
        <v>3550</v>
      </c>
      <c r="J160" s="250"/>
      <c r="K160" s="313" t="s">
        <v>440</v>
      </c>
      <c r="L160" s="319"/>
      <c r="N160" s="90"/>
    </row>
    <row r="161" spans="1:14" ht="16.5" customHeight="1" x14ac:dyDescent="0.3">
      <c r="A161" s="390">
        <v>43374</v>
      </c>
      <c r="B161" s="358" t="s">
        <v>126</v>
      </c>
      <c r="C161" s="249" t="s">
        <v>31</v>
      </c>
      <c r="D161" s="249" t="s">
        <v>30</v>
      </c>
      <c r="E161" s="249" t="s">
        <v>81</v>
      </c>
      <c r="F161" s="249">
        <v>84</v>
      </c>
      <c r="G161" s="249">
        <v>144</v>
      </c>
      <c r="H161" s="487">
        <f>SUM(I161:I162)</f>
        <v>2760</v>
      </c>
      <c r="I161" s="249">
        <v>1380</v>
      </c>
      <c r="J161" s="250"/>
      <c r="K161" s="313" t="s">
        <v>440</v>
      </c>
      <c r="L161" s="319"/>
      <c r="N161" s="90"/>
    </row>
    <row r="162" spans="1:14" ht="16.5" customHeight="1" x14ac:dyDescent="0.3">
      <c r="A162" s="390">
        <v>43374</v>
      </c>
      <c r="B162" s="358" t="s">
        <v>126</v>
      </c>
      <c r="C162" s="249" t="s">
        <v>31</v>
      </c>
      <c r="D162" s="249" t="s">
        <v>30</v>
      </c>
      <c r="E162" s="249" t="s">
        <v>81</v>
      </c>
      <c r="F162" s="249">
        <v>85</v>
      </c>
      <c r="G162" s="249">
        <v>144</v>
      </c>
      <c r="H162" s="488"/>
      <c r="I162" s="249">
        <v>1380</v>
      </c>
      <c r="J162" s="250"/>
      <c r="K162" s="313" t="s">
        <v>440</v>
      </c>
      <c r="L162" s="319"/>
      <c r="N162" s="90"/>
    </row>
    <row r="163" spans="1:14" ht="16.5" customHeight="1" x14ac:dyDescent="0.25">
      <c r="A163" s="390">
        <v>43374</v>
      </c>
      <c r="B163" s="248" t="s">
        <v>127</v>
      </c>
      <c r="C163" s="249" t="s">
        <v>31</v>
      </c>
      <c r="D163" s="249" t="s">
        <v>30</v>
      </c>
      <c r="E163" s="249" t="s">
        <v>81</v>
      </c>
      <c r="F163" s="249">
        <v>88</v>
      </c>
      <c r="G163" s="249">
        <v>360</v>
      </c>
      <c r="H163" s="247">
        <v>3570</v>
      </c>
      <c r="I163" s="249">
        <v>3570</v>
      </c>
      <c r="J163" s="249"/>
      <c r="K163" s="313" t="s">
        <v>440</v>
      </c>
      <c r="L163" s="324"/>
      <c r="N163" s="89"/>
    </row>
    <row r="164" spans="1:14" ht="16.5" customHeight="1" x14ac:dyDescent="0.25">
      <c r="A164" s="390">
        <v>43374</v>
      </c>
      <c r="B164" s="248" t="s">
        <v>128</v>
      </c>
      <c r="C164" s="249" t="s">
        <v>31</v>
      </c>
      <c r="D164" s="249" t="s">
        <v>30</v>
      </c>
      <c r="E164" s="249" t="s">
        <v>81</v>
      </c>
      <c r="F164" s="249">
        <v>88</v>
      </c>
      <c r="G164" s="249">
        <v>288</v>
      </c>
      <c r="H164" s="247">
        <v>2770</v>
      </c>
      <c r="I164" s="249">
        <v>2770</v>
      </c>
      <c r="J164" s="249"/>
      <c r="K164" s="313" t="s">
        <v>440</v>
      </c>
      <c r="L164" s="324"/>
      <c r="N164" s="89"/>
    </row>
    <row r="165" spans="1:14" ht="16.5" customHeight="1" x14ac:dyDescent="0.25">
      <c r="A165" s="390">
        <v>43374</v>
      </c>
      <c r="B165" s="358" t="s">
        <v>129</v>
      </c>
      <c r="C165" s="249" t="s">
        <v>31</v>
      </c>
      <c r="D165" s="249" t="s">
        <v>30</v>
      </c>
      <c r="E165" s="249" t="s">
        <v>81</v>
      </c>
      <c r="F165" s="249">
        <v>85</v>
      </c>
      <c r="G165" s="249">
        <v>144</v>
      </c>
      <c r="H165" s="487">
        <f>SUM(I165:I166)</f>
        <v>3010</v>
      </c>
      <c r="I165" s="249">
        <v>1505</v>
      </c>
      <c r="J165" s="249"/>
      <c r="K165" s="313" t="s">
        <v>440</v>
      </c>
      <c r="L165" s="324"/>
    </row>
    <row r="166" spans="1:14" ht="15.75" customHeight="1" x14ac:dyDescent="0.3">
      <c r="A166" s="390">
        <v>43374</v>
      </c>
      <c r="B166" s="358" t="s">
        <v>129</v>
      </c>
      <c r="C166" s="249" t="s">
        <v>31</v>
      </c>
      <c r="D166" s="249" t="s">
        <v>30</v>
      </c>
      <c r="E166" s="249" t="s">
        <v>81</v>
      </c>
      <c r="F166" s="249">
        <v>87</v>
      </c>
      <c r="G166" s="249">
        <v>144</v>
      </c>
      <c r="H166" s="488"/>
      <c r="I166" s="249">
        <v>1505</v>
      </c>
      <c r="J166" s="249"/>
      <c r="K166" s="313" t="s">
        <v>440</v>
      </c>
      <c r="L166" s="319"/>
    </row>
    <row r="167" spans="1:14" ht="16.5" customHeight="1" x14ac:dyDescent="0.25">
      <c r="A167" s="390">
        <v>43374</v>
      </c>
      <c r="B167" s="82" t="s">
        <v>130</v>
      </c>
      <c r="C167" s="80" t="s">
        <v>31</v>
      </c>
      <c r="D167" s="80" t="s">
        <v>30</v>
      </c>
      <c r="E167" s="80" t="s">
        <v>81</v>
      </c>
      <c r="F167" s="80">
        <v>87</v>
      </c>
      <c r="G167" s="80">
        <v>288</v>
      </c>
      <c r="H167" s="83">
        <v>3060</v>
      </c>
      <c r="I167" s="80">
        <v>3060</v>
      </c>
      <c r="J167" s="80"/>
      <c r="K167" s="286" t="s">
        <v>279</v>
      </c>
      <c r="L167" s="287" t="s">
        <v>213</v>
      </c>
      <c r="M167" s="239"/>
    </row>
    <row r="168" spans="1:14" ht="16.5" customHeight="1" x14ac:dyDescent="0.25">
      <c r="A168" s="390">
        <v>43374</v>
      </c>
      <c r="B168" s="82" t="s">
        <v>131</v>
      </c>
      <c r="C168" s="80" t="s">
        <v>31</v>
      </c>
      <c r="D168" s="80" t="s">
        <v>30</v>
      </c>
      <c r="E168" s="80" t="s">
        <v>81</v>
      </c>
      <c r="F168" s="80">
        <v>88</v>
      </c>
      <c r="G168" s="80">
        <v>288</v>
      </c>
      <c r="H168" s="83">
        <v>2920</v>
      </c>
      <c r="I168" s="80">
        <v>2920</v>
      </c>
      <c r="J168" s="80"/>
      <c r="K168" s="286" t="s">
        <v>279</v>
      </c>
      <c r="L168" s="287" t="s">
        <v>213</v>
      </c>
      <c r="M168" s="239"/>
    </row>
    <row r="169" spans="1:14" ht="16.5" customHeight="1" x14ac:dyDescent="0.25">
      <c r="A169" s="390">
        <v>43374</v>
      </c>
      <c r="B169" s="82" t="s">
        <v>132</v>
      </c>
      <c r="C169" s="80" t="s">
        <v>31</v>
      </c>
      <c r="D169" s="80" t="s">
        <v>30</v>
      </c>
      <c r="E169" s="80" t="s">
        <v>81</v>
      </c>
      <c r="F169" s="80">
        <v>88</v>
      </c>
      <c r="G169" s="80">
        <v>360</v>
      </c>
      <c r="H169" s="83">
        <v>3700</v>
      </c>
      <c r="I169" s="80">
        <v>3700</v>
      </c>
      <c r="J169" s="81"/>
      <c r="K169" s="286" t="s">
        <v>279</v>
      </c>
      <c r="L169" s="287" t="s">
        <v>213</v>
      </c>
      <c r="M169" s="239"/>
    </row>
    <row r="170" spans="1:14" ht="16.5" customHeight="1" x14ac:dyDescent="0.25">
      <c r="A170" s="390">
        <v>43374</v>
      </c>
      <c r="B170" s="82" t="s">
        <v>133</v>
      </c>
      <c r="C170" s="80" t="s">
        <v>31</v>
      </c>
      <c r="D170" s="80" t="s">
        <v>30</v>
      </c>
      <c r="E170" s="80" t="s">
        <v>81</v>
      </c>
      <c r="F170" s="80">
        <v>85</v>
      </c>
      <c r="G170" s="80">
        <v>360</v>
      </c>
      <c r="H170" s="83">
        <v>3650</v>
      </c>
      <c r="I170" s="80">
        <v>3650</v>
      </c>
      <c r="J170" s="81"/>
      <c r="K170" s="286" t="s">
        <v>279</v>
      </c>
      <c r="L170" s="287" t="s">
        <v>213</v>
      </c>
      <c r="M170" s="239"/>
    </row>
    <row r="171" spans="1:14" ht="16.5" customHeight="1" x14ac:dyDescent="0.25">
      <c r="A171" s="390">
        <v>43374</v>
      </c>
      <c r="B171" s="359" t="s">
        <v>134</v>
      </c>
      <c r="C171" s="80" t="s">
        <v>31</v>
      </c>
      <c r="D171" s="80" t="s">
        <v>30</v>
      </c>
      <c r="E171" s="80" t="s">
        <v>81</v>
      </c>
      <c r="F171" s="80">
        <v>85</v>
      </c>
      <c r="G171" s="80">
        <v>108</v>
      </c>
      <c r="H171" s="489">
        <f>SUM(I171:I172)</f>
        <v>2940</v>
      </c>
      <c r="I171" s="80">
        <v>1102.5</v>
      </c>
      <c r="J171" s="81"/>
      <c r="K171" s="286" t="s">
        <v>279</v>
      </c>
      <c r="L171" s="287" t="s">
        <v>213</v>
      </c>
      <c r="M171" s="239"/>
    </row>
    <row r="172" spans="1:14" ht="16.5" customHeight="1" x14ac:dyDescent="0.25">
      <c r="A172" s="390">
        <v>43374</v>
      </c>
      <c r="B172" s="359" t="s">
        <v>134</v>
      </c>
      <c r="C172" s="80" t="s">
        <v>31</v>
      </c>
      <c r="D172" s="80" t="s">
        <v>30</v>
      </c>
      <c r="E172" s="80" t="s">
        <v>81</v>
      </c>
      <c r="F172" s="80">
        <v>87</v>
      </c>
      <c r="G172" s="80">
        <v>180</v>
      </c>
      <c r="H172" s="490"/>
      <c r="I172" s="80">
        <v>1837.5</v>
      </c>
      <c r="J172" s="81"/>
      <c r="K172" s="286" t="s">
        <v>279</v>
      </c>
      <c r="L172" s="287" t="s">
        <v>213</v>
      </c>
      <c r="M172" s="239"/>
    </row>
    <row r="173" spans="1:14" ht="16.5" customHeight="1" x14ac:dyDescent="0.25">
      <c r="A173" s="390">
        <v>43374</v>
      </c>
      <c r="B173" s="82" t="s">
        <v>135</v>
      </c>
      <c r="C173" s="80" t="s">
        <v>31</v>
      </c>
      <c r="D173" s="80" t="s">
        <v>30</v>
      </c>
      <c r="E173" s="80" t="s">
        <v>81</v>
      </c>
      <c r="F173" s="80">
        <v>88</v>
      </c>
      <c r="G173" s="80">
        <v>360</v>
      </c>
      <c r="H173" s="83">
        <v>3700</v>
      </c>
      <c r="I173" s="80">
        <v>3700</v>
      </c>
      <c r="J173" s="81"/>
      <c r="K173" s="286" t="s">
        <v>279</v>
      </c>
      <c r="L173" s="287" t="s">
        <v>213</v>
      </c>
      <c r="M173" s="239"/>
    </row>
    <row r="174" spans="1:14" ht="16.5" customHeight="1" x14ac:dyDescent="0.3">
      <c r="A174" s="390">
        <v>43374</v>
      </c>
      <c r="B174" s="358" t="s">
        <v>136</v>
      </c>
      <c r="C174" s="249" t="s">
        <v>31</v>
      </c>
      <c r="D174" s="249" t="s">
        <v>30</v>
      </c>
      <c r="E174" s="249" t="s">
        <v>81</v>
      </c>
      <c r="F174" s="249">
        <v>87</v>
      </c>
      <c r="G174" s="249">
        <v>108</v>
      </c>
      <c r="H174" s="487">
        <f>SUM(I174:I175)</f>
        <v>1470</v>
      </c>
      <c r="I174" s="249">
        <v>1102.5</v>
      </c>
      <c r="J174" s="249"/>
      <c r="K174" s="313" t="s">
        <v>440</v>
      </c>
      <c r="L174" s="251"/>
    </row>
    <row r="175" spans="1:14" ht="15.75" customHeight="1" x14ac:dyDescent="0.3">
      <c r="A175" s="390">
        <v>43374</v>
      </c>
      <c r="B175" s="358" t="s">
        <v>136</v>
      </c>
      <c r="C175" s="249" t="s">
        <v>31</v>
      </c>
      <c r="D175" s="249" t="s">
        <v>30</v>
      </c>
      <c r="E175" s="249" t="s">
        <v>81</v>
      </c>
      <c r="F175" s="249">
        <v>88</v>
      </c>
      <c r="G175" s="249">
        <v>36</v>
      </c>
      <c r="H175" s="488"/>
      <c r="I175" s="249">
        <v>367.5</v>
      </c>
      <c r="J175" s="249"/>
      <c r="K175" s="313" t="s">
        <v>440</v>
      </c>
      <c r="L175" s="251"/>
    </row>
    <row r="176" spans="1:14" s="172" customFormat="1" ht="15.75" customHeight="1" x14ac:dyDescent="0.3">
      <c r="A176" s="390">
        <v>43374</v>
      </c>
      <c r="B176" s="170" t="s">
        <v>137</v>
      </c>
      <c r="C176" s="162" t="s">
        <v>139</v>
      </c>
      <c r="D176" s="162" t="s">
        <v>30</v>
      </c>
      <c r="E176" s="162" t="s">
        <v>138</v>
      </c>
      <c r="F176" s="162">
        <v>27</v>
      </c>
      <c r="G176" s="162">
        <v>144</v>
      </c>
      <c r="H176" s="168">
        <v>1550</v>
      </c>
      <c r="I176" s="162">
        <v>1550</v>
      </c>
      <c r="J176" s="163"/>
      <c r="K176" s="196" t="s">
        <v>394</v>
      </c>
      <c r="L176" s="325" t="s">
        <v>395</v>
      </c>
      <c r="M176" s="241"/>
    </row>
    <row r="177" spans="1:14" customFormat="1" ht="15.75" customHeight="1" x14ac:dyDescent="0.25">
      <c r="A177" s="390">
        <v>43374</v>
      </c>
      <c r="B177" s="68" t="s">
        <v>140</v>
      </c>
      <c r="C177" s="69" t="s">
        <v>139</v>
      </c>
      <c r="D177" s="69" t="s">
        <v>30</v>
      </c>
      <c r="E177" s="69" t="s">
        <v>138</v>
      </c>
      <c r="F177" s="69">
        <v>27</v>
      </c>
      <c r="G177" s="69">
        <v>108</v>
      </c>
      <c r="H177" s="26">
        <v>1150</v>
      </c>
      <c r="I177" s="26">
        <v>1150</v>
      </c>
      <c r="J177" s="26">
        <v>1150</v>
      </c>
      <c r="K177" s="197" t="s">
        <v>149</v>
      </c>
      <c r="L177" s="231" t="s">
        <v>150</v>
      </c>
      <c r="M177" s="241"/>
    </row>
    <row r="178" spans="1:14" customFormat="1" ht="15.75" customHeight="1" x14ac:dyDescent="0.25">
      <c r="A178" s="390">
        <v>43374</v>
      </c>
      <c r="B178" s="62" t="s">
        <v>141</v>
      </c>
      <c r="C178" s="58" t="s">
        <v>139</v>
      </c>
      <c r="D178" s="58" t="s">
        <v>30</v>
      </c>
      <c r="E178" s="58" t="s">
        <v>138</v>
      </c>
      <c r="F178" s="58">
        <v>27</v>
      </c>
      <c r="G178" s="58">
        <v>108</v>
      </c>
      <c r="H178" s="63">
        <v>1140</v>
      </c>
      <c r="I178" s="63">
        <v>1140</v>
      </c>
      <c r="J178" s="63">
        <v>1140</v>
      </c>
      <c r="K178" s="195" t="s">
        <v>151</v>
      </c>
      <c r="L178" s="230" t="s">
        <v>150</v>
      </c>
      <c r="M178" s="241"/>
    </row>
    <row r="179" spans="1:14" s="172" customFormat="1" ht="15.75" customHeight="1" x14ac:dyDescent="0.3">
      <c r="A179" s="390">
        <v>43374</v>
      </c>
      <c r="B179" s="170" t="s">
        <v>142</v>
      </c>
      <c r="C179" s="162" t="s">
        <v>139</v>
      </c>
      <c r="D179" s="162" t="s">
        <v>30</v>
      </c>
      <c r="E179" s="162" t="s">
        <v>138</v>
      </c>
      <c r="F179" s="162">
        <v>27</v>
      </c>
      <c r="G179" s="162">
        <v>72</v>
      </c>
      <c r="H179" s="168">
        <v>760</v>
      </c>
      <c r="I179" s="162">
        <v>760</v>
      </c>
      <c r="J179" s="173"/>
      <c r="K179" s="196" t="s">
        <v>394</v>
      </c>
      <c r="L179" s="325" t="s">
        <v>395</v>
      </c>
      <c r="M179" s="241"/>
    </row>
    <row r="180" spans="1:14" customFormat="1" ht="15.75" customHeight="1" x14ac:dyDescent="0.25">
      <c r="A180" s="390">
        <v>43374</v>
      </c>
      <c r="B180" s="62" t="s">
        <v>143</v>
      </c>
      <c r="C180" s="58" t="s">
        <v>139</v>
      </c>
      <c r="D180" s="58" t="s">
        <v>30</v>
      </c>
      <c r="E180" s="58" t="s">
        <v>138</v>
      </c>
      <c r="F180" s="58">
        <v>27</v>
      </c>
      <c r="G180" s="58">
        <v>108</v>
      </c>
      <c r="H180" s="63">
        <v>1140</v>
      </c>
      <c r="I180" s="63">
        <v>1140</v>
      </c>
      <c r="J180" s="63">
        <v>1140</v>
      </c>
      <c r="K180" s="195" t="s">
        <v>151</v>
      </c>
      <c r="L180" s="230" t="s">
        <v>150</v>
      </c>
      <c r="M180" s="239"/>
      <c r="N180" s="233"/>
    </row>
    <row r="181" spans="1:14" customFormat="1" ht="15.75" customHeight="1" x14ac:dyDescent="0.25">
      <c r="A181" s="390">
        <v>43374</v>
      </c>
      <c r="B181" s="70" t="s">
        <v>144</v>
      </c>
      <c r="C181" s="71" t="s">
        <v>139</v>
      </c>
      <c r="D181" s="71" t="s">
        <v>30</v>
      </c>
      <c r="E181" s="71" t="s">
        <v>138</v>
      </c>
      <c r="F181" s="71">
        <v>27</v>
      </c>
      <c r="G181" s="71">
        <v>288</v>
      </c>
      <c r="H181" s="41">
        <v>2960</v>
      </c>
      <c r="I181" s="71">
        <v>2960</v>
      </c>
      <c r="J181" s="72"/>
      <c r="K181" s="280" t="s">
        <v>207</v>
      </c>
      <c r="L181" s="279" t="s">
        <v>207</v>
      </c>
      <c r="M181" s="239"/>
    </row>
    <row r="182" spans="1:14" customFormat="1" ht="15.75" customHeight="1" x14ac:dyDescent="0.25">
      <c r="A182" s="390">
        <v>43374</v>
      </c>
      <c r="B182" s="70" t="s">
        <v>145</v>
      </c>
      <c r="C182" s="71" t="s">
        <v>139</v>
      </c>
      <c r="D182" s="71" t="s">
        <v>30</v>
      </c>
      <c r="E182" s="71" t="s">
        <v>138</v>
      </c>
      <c r="F182" s="71">
        <v>27</v>
      </c>
      <c r="G182" s="71">
        <v>324</v>
      </c>
      <c r="H182" s="41">
        <v>3340</v>
      </c>
      <c r="I182" s="71">
        <v>3340</v>
      </c>
      <c r="J182" s="72"/>
      <c r="K182" s="280" t="s">
        <v>207</v>
      </c>
      <c r="L182" s="279" t="s">
        <v>207</v>
      </c>
      <c r="M182" s="239"/>
    </row>
    <row r="183" spans="1:14" customFormat="1" ht="15.75" customHeight="1" x14ac:dyDescent="0.25">
      <c r="A183" s="390">
        <v>43374</v>
      </c>
      <c r="B183" s="70" t="s">
        <v>146</v>
      </c>
      <c r="C183" s="71" t="s">
        <v>139</v>
      </c>
      <c r="D183" s="71" t="s">
        <v>30</v>
      </c>
      <c r="E183" s="71" t="s">
        <v>138</v>
      </c>
      <c r="F183" s="71">
        <v>27</v>
      </c>
      <c r="G183" s="71">
        <v>288</v>
      </c>
      <c r="H183" s="41">
        <v>3000</v>
      </c>
      <c r="I183" s="71">
        <v>3000</v>
      </c>
      <c r="J183" s="72"/>
      <c r="K183" s="280" t="s">
        <v>207</v>
      </c>
      <c r="L183" s="279" t="s">
        <v>207</v>
      </c>
      <c r="M183" s="239"/>
    </row>
    <row r="184" spans="1:14" customFormat="1" ht="16.5" customHeight="1" x14ac:dyDescent="0.25">
      <c r="A184" s="390">
        <v>43374</v>
      </c>
      <c r="B184" s="70" t="s">
        <v>147</v>
      </c>
      <c r="C184" s="71" t="s">
        <v>139</v>
      </c>
      <c r="D184" s="71" t="s">
        <v>30</v>
      </c>
      <c r="E184" s="71" t="s">
        <v>138</v>
      </c>
      <c r="F184" s="71">
        <v>27</v>
      </c>
      <c r="G184" s="71">
        <v>144</v>
      </c>
      <c r="H184" s="41">
        <v>1650</v>
      </c>
      <c r="I184" s="71">
        <v>1650</v>
      </c>
      <c r="J184" s="72"/>
      <c r="K184" s="280" t="s">
        <v>207</v>
      </c>
      <c r="L184" s="279" t="s">
        <v>207</v>
      </c>
      <c r="M184" s="239"/>
    </row>
    <row r="185" spans="1:14" customFormat="1" ht="15.75" customHeight="1" x14ac:dyDescent="0.25">
      <c r="A185" s="390">
        <v>43375</v>
      </c>
      <c r="B185" s="360" t="s">
        <v>152</v>
      </c>
      <c r="C185" s="213" t="s">
        <v>139</v>
      </c>
      <c r="D185" s="213" t="s">
        <v>30</v>
      </c>
      <c r="E185" s="213" t="s">
        <v>138</v>
      </c>
      <c r="F185" s="213">
        <v>27</v>
      </c>
      <c r="G185" s="213">
        <v>216</v>
      </c>
      <c r="H185" s="497">
        <v>3860</v>
      </c>
      <c r="I185" s="213">
        <v>2316</v>
      </c>
      <c r="J185" s="213"/>
      <c r="K185" s="312" t="s">
        <v>432</v>
      </c>
      <c r="L185" s="326"/>
      <c r="M185" s="239"/>
    </row>
    <row r="186" spans="1:14" customFormat="1" ht="15.75" customHeight="1" x14ac:dyDescent="0.25">
      <c r="A186" s="390">
        <v>43375</v>
      </c>
      <c r="B186" s="360" t="s">
        <v>152</v>
      </c>
      <c r="C186" s="213" t="s">
        <v>139</v>
      </c>
      <c r="D186" s="213" t="s">
        <v>30</v>
      </c>
      <c r="E186" s="213" t="s">
        <v>138</v>
      </c>
      <c r="F186" s="213">
        <v>26</v>
      </c>
      <c r="G186" s="213">
        <v>144</v>
      </c>
      <c r="H186" s="498"/>
      <c r="I186" s="213">
        <v>1544</v>
      </c>
      <c r="J186" s="213"/>
      <c r="K186" s="312" t="s">
        <v>432</v>
      </c>
      <c r="L186" s="326"/>
      <c r="M186" s="239"/>
    </row>
    <row r="187" spans="1:14" customFormat="1" ht="15.75" customHeight="1" x14ac:dyDescent="0.25">
      <c r="A187" s="390">
        <v>43375</v>
      </c>
      <c r="B187" s="360" t="s">
        <v>153</v>
      </c>
      <c r="C187" s="213" t="s">
        <v>139</v>
      </c>
      <c r="D187" s="213" t="s">
        <v>30</v>
      </c>
      <c r="E187" s="213" t="s">
        <v>138</v>
      </c>
      <c r="F187" s="213">
        <v>26</v>
      </c>
      <c r="G187" s="213">
        <v>108</v>
      </c>
      <c r="H187" s="497">
        <v>3860</v>
      </c>
      <c r="I187" s="213">
        <v>1158</v>
      </c>
      <c r="J187" s="213"/>
      <c r="K187" s="312" t="s">
        <v>432</v>
      </c>
      <c r="L187" s="326"/>
      <c r="M187" s="239"/>
    </row>
    <row r="188" spans="1:14" customFormat="1" ht="15.75" customHeight="1" x14ac:dyDescent="0.25">
      <c r="A188" s="390">
        <v>43375</v>
      </c>
      <c r="B188" s="360" t="s">
        <v>153</v>
      </c>
      <c r="C188" s="213" t="s">
        <v>139</v>
      </c>
      <c r="D188" s="213" t="s">
        <v>30</v>
      </c>
      <c r="E188" s="213" t="s">
        <v>138</v>
      </c>
      <c r="F188" s="213">
        <v>27</v>
      </c>
      <c r="G188" s="213">
        <v>252</v>
      </c>
      <c r="H188" s="498"/>
      <c r="I188" s="213">
        <v>2702</v>
      </c>
      <c r="J188" s="213"/>
      <c r="K188" s="312" t="s">
        <v>432</v>
      </c>
      <c r="L188" s="326"/>
      <c r="M188" s="239"/>
    </row>
    <row r="189" spans="1:14" customFormat="1" ht="15.75" customHeight="1" x14ac:dyDescent="0.3">
      <c r="A189" s="390">
        <v>43375</v>
      </c>
      <c r="B189" s="358" t="s">
        <v>154</v>
      </c>
      <c r="C189" s="249" t="s">
        <v>139</v>
      </c>
      <c r="D189" s="249" t="s">
        <v>30</v>
      </c>
      <c r="E189" s="249" t="s">
        <v>138</v>
      </c>
      <c r="F189" s="249">
        <v>26</v>
      </c>
      <c r="G189" s="249">
        <v>252</v>
      </c>
      <c r="H189" s="487">
        <v>3750</v>
      </c>
      <c r="I189" s="249">
        <v>2625</v>
      </c>
      <c r="J189" s="250"/>
      <c r="K189" s="313" t="s">
        <v>440</v>
      </c>
      <c r="L189" s="319"/>
      <c r="M189" s="101"/>
    </row>
    <row r="190" spans="1:14" customFormat="1" ht="15.75" customHeight="1" x14ac:dyDescent="0.3">
      <c r="A190" s="390">
        <v>43375</v>
      </c>
      <c r="B190" s="358" t="s">
        <v>154</v>
      </c>
      <c r="C190" s="249" t="s">
        <v>139</v>
      </c>
      <c r="D190" s="249" t="s">
        <v>30</v>
      </c>
      <c r="E190" s="249" t="s">
        <v>138</v>
      </c>
      <c r="F190" s="249">
        <v>27</v>
      </c>
      <c r="G190" s="249">
        <v>108</v>
      </c>
      <c r="H190" s="488"/>
      <c r="I190" s="249">
        <v>1125</v>
      </c>
      <c r="J190" s="250"/>
      <c r="K190" s="313" t="s">
        <v>440</v>
      </c>
      <c r="L190" s="319"/>
      <c r="M190" s="101"/>
    </row>
    <row r="191" spans="1:14" customFormat="1" ht="15.75" customHeight="1" x14ac:dyDescent="0.25">
      <c r="A191" s="390">
        <v>43375</v>
      </c>
      <c r="B191" s="361" t="s">
        <v>155</v>
      </c>
      <c r="C191" s="88" t="s">
        <v>139</v>
      </c>
      <c r="D191" s="88" t="s">
        <v>30</v>
      </c>
      <c r="E191" s="88" t="s">
        <v>138</v>
      </c>
      <c r="F191" s="88">
        <v>26</v>
      </c>
      <c r="G191" s="88">
        <v>144</v>
      </c>
      <c r="H191" s="481">
        <v>3070</v>
      </c>
      <c r="I191" s="88">
        <v>1516</v>
      </c>
      <c r="J191" s="88"/>
      <c r="K191" s="292" t="s">
        <v>285</v>
      </c>
      <c r="L191" s="285" t="s">
        <v>284</v>
      </c>
      <c r="M191" s="506">
        <v>3790</v>
      </c>
      <c r="N191" s="238"/>
    </row>
    <row r="192" spans="1:14" customFormat="1" ht="15.75" customHeight="1" x14ac:dyDescent="0.25">
      <c r="A192" s="390">
        <v>43375</v>
      </c>
      <c r="B192" s="361" t="s">
        <v>155</v>
      </c>
      <c r="C192" s="88" t="s">
        <v>139</v>
      </c>
      <c r="D192" s="88" t="s">
        <v>30</v>
      </c>
      <c r="E192" s="88" t="s">
        <v>138</v>
      </c>
      <c r="F192" s="88">
        <v>27</v>
      </c>
      <c r="G192" s="88">
        <v>216</v>
      </c>
      <c r="H192" s="483"/>
      <c r="I192" s="88">
        <v>2274</v>
      </c>
      <c r="J192" s="88"/>
      <c r="K192" s="292" t="s">
        <v>285</v>
      </c>
      <c r="L192" s="285" t="s">
        <v>284</v>
      </c>
      <c r="M192" s="506"/>
      <c r="N192" s="237"/>
    </row>
    <row r="193" spans="1:16" customFormat="1" ht="15.75" customHeight="1" x14ac:dyDescent="0.3">
      <c r="A193" s="390">
        <v>43375</v>
      </c>
      <c r="B193" s="362" t="s">
        <v>156</v>
      </c>
      <c r="C193" s="48" t="s">
        <v>139</v>
      </c>
      <c r="D193" s="48" t="s">
        <v>30</v>
      </c>
      <c r="E193" s="44" t="s">
        <v>138</v>
      </c>
      <c r="F193" s="44">
        <v>26</v>
      </c>
      <c r="G193" s="44">
        <v>252</v>
      </c>
      <c r="H193" s="453">
        <v>3790</v>
      </c>
      <c r="I193" s="44">
        <v>2653</v>
      </c>
      <c r="J193" s="61"/>
      <c r="K193" s="194"/>
      <c r="L193" s="228"/>
      <c r="M193" s="101"/>
    </row>
    <row r="194" spans="1:16" customFormat="1" ht="15.75" customHeight="1" x14ac:dyDescent="0.3">
      <c r="A194" s="390">
        <v>43375</v>
      </c>
      <c r="B194" s="362" t="s">
        <v>156</v>
      </c>
      <c r="C194" s="48" t="s">
        <v>139</v>
      </c>
      <c r="D194" s="48" t="s">
        <v>30</v>
      </c>
      <c r="E194" s="44" t="s">
        <v>138</v>
      </c>
      <c r="F194" s="44">
        <v>27</v>
      </c>
      <c r="G194" s="44">
        <v>108</v>
      </c>
      <c r="H194" s="454"/>
      <c r="I194" s="44">
        <v>1137</v>
      </c>
      <c r="J194" s="61"/>
      <c r="K194" s="194"/>
      <c r="L194" s="228"/>
      <c r="M194" s="101"/>
    </row>
    <row r="195" spans="1:16" customFormat="1" ht="15.75" customHeight="1" x14ac:dyDescent="0.25">
      <c r="A195" s="390">
        <v>43375</v>
      </c>
      <c r="B195" s="356" t="s">
        <v>157</v>
      </c>
      <c r="C195" s="65" t="s">
        <v>139</v>
      </c>
      <c r="D195" s="65" t="s">
        <v>30</v>
      </c>
      <c r="E195" s="65" t="s">
        <v>138</v>
      </c>
      <c r="F195" s="65">
        <v>27</v>
      </c>
      <c r="G195" s="65">
        <v>288</v>
      </c>
      <c r="H195" s="494">
        <v>2068</v>
      </c>
      <c r="I195" s="65">
        <v>2968</v>
      </c>
      <c r="J195" s="67"/>
      <c r="K195" s="307" t="s">
        <v>209</v>
      </c>
      <c r="L195" s="309" t="s">
        <v>150</v>
      </c>
      <c r="M195" s="507" t="s">
        <v>435</v>
      </c>
      <c r="N195" s="121"/>
    </row>
    <row r="196" spans="1:16" customFormat="1" ht="15.75" customHeight="1" x14ac:dyDescent="0.25">
      <c r="A196" s="390">
        <v>43375</v>
      </c>
      <c r="B196" s="356" t="s">
        <v>157</v>
      </c>
      <c r="C196" s="65" t="s">
        <v>139</v>
      </c>
      <c r="D196" s="65" t="s">
        <v>30</v>
      </c>
      <c r="E196" s="65" t="s">
        <v>138</v>
      </c>
      <c r="F196" s="65">
        <v>26</v>
      </c>
      <c r="G196" s="65">
        <v>72</v>
      </c>
      <c r="H196" s="495"/>
      <c r="I196" s="65">
        <v>742</v>
      </c>
      <c r="J196" s="67"/>
      <c r="K196" s="307" t="s">
        <v>209</v>
      </c>
      <c r="L196" s="309" t="s">
        <v>150</v>
      </c>
      <c r="M196" s="508"/>
      <c r="N196" s="242"/>
    </row>
    <row r="197" spans="1:16" customFormat="1" ht="15.75" customHeight="1" x14ac:dyDescent="0.3">
      <c r="A197" s="390">
        <v>43375</v>
      </c>
      <c r="B197" s="362" t="s">
        <v>158</v>
      </c>
      <c r="C197" s="48" t="s">
        <v>139</v>
      </c>
      <c r="D197" s="48" t="s">
        <v>30</v>
      </c>
      <c r="E197" s="44" t="s">
        <v>138</v>
      </c>
      <c r="F197" s="44">
        <v>27</v>
      </c>
      <c r="G197" s="44">
        <v>180</v>
      </c>
      <c r="H197" s="453">
        <v>3740</v>
      </c>
      <c r="I197" s="44">
        <v>1870</v>
      </c>
      <c r="J197" s="61"/>
      <c r="K197" s="194"/>
      <c r="L197" s="228"/>
      <c r="M197" s="101"/>
    </row>
    <row r="198" spans="1:16" customFormat="1" ht="15.75" customHeight="1" x14ac:dyDescent="0.3">
      <c r="A198" s="390">
        <v>43375</v>
      </c>
      <c r="B198" s="362" t="s">
        <v>158</v>
      </c>
      <c r="C198" s="48" t="s">
        <v>139</v>
      </c>
      <c r="D198" s="48" t="s">
        <v>30</v>
      </c>
      <c r="E198" s="44" t="s">
        <v>138</v>
      </c>
      <c r="F198" s="44">
        <v>26</v>
      </c>
      <c r="G198" s="44">
        <v>180</v>
      </c>
      <c r="H198" s="454"/>
      <c r="I198" s="44">
        <v>1870</v>
      </c>
      <c r="J198" s="61"/>
      <c r="K198" s="194"/>
      <c r="L198" s="228"/>
      <c r="M198" s="101"/>
    </row>
    <row r="199" spans="1:16" customFormat="1" ht="15.75" customHeight="1" x14ac:dyDescent="0.3">
      <c r="A199" s="390">
        <v>43375</v>
      </c>
      <c r="B199" s="362" t="s">
        <v>159</v>
      </c>
      <c r="C199" s="48" t="s">
        <v>139</v>
      </c>
      <c r="D199" s="48" t="s">
        <v>30</v>
      </c>
      <c r="E199" s="44" t="s">
        <v>138</v>
      </c>
      <c r="F199" s="44">
        <v>26</v>
      </c>
      <c r="G199" s="44">
        <v>216</v>
      </c>
      <c r="H199" s="453">
        <v>3720</v>
      </c>
      <c r="I199" s="44">
        <v>2232</v>
      </c>
      <c r="J199" s="61"/>
      <c r="K199" s="194"/>
      <c r="L199" s="228"/>
      <c r="M199" s="101"/>
    </row>
    <row r="200" spans="1:16" customFormat="1" ht="15.75" customHeight="1" x14ac:dyDescent="0.3">
      <c r="A200" s="390">
        <v>43375</v>
      </c>
      <c r="B200" s="362" t="s">
        <v>159</v>
      </c>
      <c r="C200" s="48" t="s">
        <v>139</v>
      </c>
      <c r="D200" s="48" t="s">
        <v>30</v>
      </c>
      <c r="E200" s="44" t="s">
        <v>138</v>
      </c>
      <c r="F200" s="44">
        <v>27</v>
      </c>
      <c r="G200" s="44">
        <v>144</v>
      </c>
      <c r="H200" s="454"/>
      <c r="I200" s="44">
        <v>1488</v>
      </c>
      <c r="J200" s="61"/>
      <c r="K200" s="194"/>
      <c r="L200" s="228"/>
      <c r="M200" s="101"/>
    </row>
    <row r="201" spans="1:16" customFormat="1" ht="15.75" customHeight="1" x14ac:dyDescent="0.25">
      <c r="A201" s="390">
        <v>43375</v>
      </c>
      <c r="B201" s="363" t="s">
        <v>160</v>
      </c>
      <c r="C201" s="86" t="s">
        <v>139</v>
      </c>
      <c r="D201" s="86" t="s">
        <v>30</v>
      </c>
      <c r="E201" s="86" t="s">
        <v>138</v>
      </c>
      <c r="F201" s="86">
        <v>27</v>
      </c>
      <c r="G201" s="86">
        <v>108</v>
      </c>
      <c r="H201" s="499">
        <v>3690</v>
      </c>
      <c r="I201" s="86">
        <v>1107</v>
      </c>
      <c r="J201" s="86"/>
      <c r="K201" s="290" t="s">
        <v>283</v>
      </c>
      <c r="L201" s="275" t="s">
        <v>284</v>
      </c>
      <c r="M201" s="239"/>
      <c r="O201" s="439"/>
    </row>
    <row r="202" spans="1:16" customFormat="1" ht="15.75" customHeight="1" x14ac:dyDescent="0.25">
      <c r="A202" s="390">
        <v>43375</v>
      </c>
      <c r="B202" s="363" t="s">
        <v>160</v>
      </c>
      <c r="C202" s="86" t="s">
        <v>139</v>
      </c>
      <c r="D202" s="86" t="s">
        <v>30</v>
      </c>
      <c r="E202" s="86" t="s">
        <v>138</v>
      </c>
      <c r="F202" s="86">
        <v>26</v>
      </c>
      <c r="G202" s="86">
        <v>252</v>
      </c>
      <c r="H202" s="500"/>
      <c r="I202" s="86">
        <v>2583</v>
      </c>
      <c r="J202" s="86"/>
      <c r="K202" s="290" t="s">
        <v>283</v>
      </c>
      <c r="L202" s="275" t="s">
        <v>284</v>
      </c>
      <c r="M202" s="239"/>
      <c r="N202" s="236"/>
      <c r="O202" s="440"/>
    </row>
    <row r="203" spans="1:16" customFormat="1" ht="17.25" customHeight="1" x14ac:dyDescent="0.3">
      <c r="A203" s="390">
        <v>43375</v>
      </c>
      <c r="B203" s="132" t="s">
        <v>161</v>
      </c>
      <c r="C203" s="133" t="s">
        <v>139</v>
      </c>
      <c r="D203" s="133" t="s">
        <v>30</v>
      </c>
      <c r="E203" s="133" t="s">
        <v>138</v>
      </c>
      <c r="F203" s="133">
        <v>26</v>
      </c>
      <c r="G203" s="133">
        <v>360</v>
      </c>
      <c r="H203" s="134">
        <v>1033</v>
      </c>
      <c r="I203" s="133">
        <v>3790</v>
      </c>
      <c r="J203" s="135"/>
      <c r="K203" s="198" t="s">
        <v>366</v>
      </c>
      <c r="L203" s="320" t="s">
        <v>213</v>
      </c>
      <c r="M203" s="243" t="s">
        <v>434</v>
      </c>
      <c r="N203" s="236"/>
    </row>
    <row r="204" spans="1:16" customFormat="1" ht="15.75" customHeight="1" x14ac:dyDescent="0.25">
      <c r="A204" s="390">
        <v>43375</v>
      </c>
      <c r="B204" s="364" t="s">
        <v>162</v>
      </c>
      <c r="C204" s="55" t="s">
        <v>139</v>
      </c>
      <c r="D204" s="55" t="s">
        <v>30</v>
      </c>
      <c r="E204" s="55" t="s">
        <v>138</v>
      </c>
      <c r="F204" s="55">
        <v>26</v>
      </c>
      <c r="G204" s="55">
        <v>216</v>
      </c>
      <c r="H204" s="473">
        <v>2950</v>
      </c>
      <c r="I204" s="55">
        <v>2256</v>
      </c>
      <c r="J204" s="473">
        <f>SUM(H204:H207)</f>
        <v>6720</v>
      </c>
      <c r="K204" s="298" t="s">
        <v>208</v>
      </c>
      <c r="L204" s="272" t="s">
        <v>150</v>
      </c>
      <c r="M204" s="239"/>
    </row>
    <row r="205" spans="1:16" customFormat="1" ht="15.75" customHeight="1" x14ac:dyDescent="0.25">
      <c r="A205" s="390">
        <v>43375</v>
      </c>
      <c r="B205" s="364" t="s">
        <v>162</v>
      </c>
      <c r="C205" s="55" t="s">
        <v>139</v>
      </c>
      <c r="D205" s="55" t="s">
        <v>30</v>
      </c>
      <c r="E205" s="55" t="s">
        <v>138</v>
      </c>
      <c r="F205" s="55">
        <v>27</v>
      </c>
      <c r="G205" s="55">
        <v>144</v>
      </c>
      <c r="H205" s="475"/>
      <c r="I205" s="55">
        <v>1504</v>
      </c>
      <c r="J205" s="474"/>
      <c r="K205" s="298" t="s">
        <v>208</v>
      </c>
      <c r="L205" s="272" t="s">
        <v>150</v>
      </c>
      <c r="M205" s="239"/>
    </row>
    <row r="206" spans="1:16" customFormat="1" ht="15.75" customHeight="1" x14ac:dyDescent="0.25">
      <c r="A206" s="390">
        <v>43375</v>
      </c>
      <c r="B206" s="364" t="s">
        <v>163</v>
      </c>
      <c r="C206" s="55" t="s">
        <v>139</v>
      </c>
      <c r="D206" s="55" t="s">
        <v>30</v>
      </c>
      <c r="E206" s="55" t="s">
        <v>138</v>
      </c>
      <c r="F206" s="55">
        <v>26</v>
      </c>
      <c r="G206" s="55">
        <v>288</v>
      </c>
      <c r="H206" s="473">
        <v>3770</v>
      </c>
      <c r="I206" s="55">
        <v>3016</v>
      </c>
      <c r="J206" s="474"/>
      <c r="K206" s="298" t="s">
        <v>208</v>
      </c>
      <c r="L206" s="272" t="s">
        <v>150</v>
      </c>
      <c r="M206" s="239"/>
      <c r="P206">
        <v>3760</v>
      </c>
    </row>
    <row r="207" spans="1:16" customFormat="1" ht="15.75" customHeight="1" x14ac:dyDescent="0.25">
      <c r="A207" s="390">
        <v>43375</v>
      </c>
      <c r="B207" s="364" t="s">
        <v>163</v>
      </c>
      <c r="C207" s="55" t="s">
        <v>139</v>
      </c>
      <c r="D207" s="55" t="s">
        <v>30</v>
      </c>
      <c r="E207" s="55" t="s">
        <v>138</v>
      </c>
      <c r="F207" s="55">
        <v>27</v>
      </c>
      <c r="G207" s="55">
        <v>72</v>
      </c>
      <c r="H207" s="475"/>
      <c r="I207" s="55">
        <v>754</v>
      </c>
      <c r="J207" s="475"/>
      <c r="K207" s="298" t="s">
        <v>208</v>
      </c>
      <c r="L207" s="272" t="s">
        <v>150</v>
      </c>
      <c r="M207" s="239"/>
    </row>
    <row r="208" spans="1:16" customFormat="1" ht="15.75" customHeight="1" x14ac:dyDescent="0.25">
      <c r="A208" s="390">
        <v>43375</v>
      </c>
      <c r="B208" s="365" t="s">
        <v>164</v>
      </c>
      <c r="C208" s="112" t="s">
        <v>139</v>
      </c>
      <c r="D208" s="112" t="s">
        <v>30</v>
      </c>
      <c r="E208" s="112" t="s">
        <v>138</v>
      </c>
      <c r="F208" s="112">
        <v>26</v>
      </c>
      <c r="G208" s="112">
        <v>324</v>
      </c>
      <c r="H208" s="512">
        <v>3740</v>
      </c>
      <c r="I208" s="112">
        <v>3366</v>
      </c>
      <c r="J208" s="112"/>
      <c r="K208" s="278" t="s">
        <v>363</v>
      </c>
      <c r="L208" s="274" t="s">
        <v>213</v>
      </c>
      <c r="M208" s="509" t="s">
        <v>436</v>
      </c>
      <c r="N208" s="238"/>
    </row>
    <row r="209" spans="1:863" ht="15.75" customHeight="1" x14ac:dyDescent="0.25">
      <c r="A209" s="390">
        <v>43375</v>
      </c>
      <c r="B209" s="365" t="s">
        <v>164</v>
      </c>
      <c r="C209" s="112" t="s">
        <v>139</v>
      </c>
      <c r="D209" s="112" t="s">
        <v>30</v>
      </c>
      <c r="E209" s="112" t="s">
        <v>138</v>
      </c>
      <c r="F209" s="112">
        <v>27</v>
      </c>
      <c r="G209" s="112">
        <v>36</v>
      </c>
      <c r="H209" s="513"/>
      <c r="I209" s="112">
        <v>374</v>
      </c>
      <c r="J209" s="112"/>
      <c r="K209" s="278" t="s">
        <v>363</v>
      </c>
      <c r="L209" s="274" t="s">
        <v>213</v>
      </c>
      <c r="M209" s="509"/>
      <c r="N209" s="242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</row>
    <row r="210" spans="1:863" ht="15.75" customHeight="1" x14ac:dyDescent="0.25">
      <c r="A210" s="390">
        <v>43375</v>
      </c>
      <c r="B210" s="111" t="s">
        <v>165</v>
      </c>
      <c r="C210" s="112" t="s">
        <v>139</v>
      </c>
      <c r="D210" s="112" t="s">
        <v>30</v>
      </c>
      <c r="E210" s="112" t="s">
        <v>138</v>
      </c>
      <c r="F210" s="112">
        <v>26</v>
      </c>
      <c r="G210" s="112">
        <v>144</v>
      </c>
      <c r="H210" s="113">
        <v>1078</v>
      </c>
      <c r="I210" s="112">
        <v>1470</v>
      </c>
      <c r="J210" s="112"/>
      <c r="K210" s="278" t="s">
        <v>363</v>
      </c>
      <c r="L210" s="274" t="s">
        <v>213</v>
      </c>
      <c r="M210" s="509"/>
      <c r="N210" s="242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</row>
    <row r="211" spans="1:863" ht="15.75" customHeight="1" x14ac:dyDescent="0.25">
      <c r="A211" s="390">
        <v>43375</v>
      </c>
      <c r="B211" s="366" t="s">
        <v>166</v>
      </c>
      <c r="C211" s="44" t="s">
        <v>31</v>
      </c>
      <c r="D211" s="44" t="s">
        <v>30</v>
      </c>
      <c r="E211" s="44" t="s">
        <v>81</v>
      </c>
      <c r="F211" s="44">
        <v>77</v>
      </c>
      <c r="G211" s="44">
        <v>108</v>
      </c>
      <c r="H211" s="514">
        <v>2710</v>
      </c>
      <c r="I211" s="44">
        <v>1016.5</v>
      </c>
      <c r="J211" s="60"/>
      <c r="K211" s="199"/>
      <c r="L211" s="327"/>
    </row>
    <row r="212" spans="1:863" ht="15.75" customHeight="1" x14ac:dyDescent="0.25">
      <c r="A212" s="390">
        <v>43375</v>
      </c>
      <c r="B212" s="366" t="s">
        <v>166</v>
      </c>
      <c r="C212" s="44" t="s">
        <v>31</v>
      </c>
      <c r="D212" s="44" t="s">
        <v>30</v>
      </c>
      <c r="E212" s="44" t="s">
        <v>81</v>
      </c>
      <c r="F212" s="44">
        <v>87</v>
      </c>
      <c r="G212" s="44">
        <v>72</v>
      </c>
      <c r="H212" s="515"/>
      <c r="I212" s="44">
        <v>677.4</v>
      </c>
      <c r="J212" s="60"/>
      <c r="K212" s="199"/>
      <c r="L212" s="327"/>
    </row>
    <row r="213" spans="1:863" ht="15.75" customHeight="1" x14ac:dyDescent="0.25">
      <c r="A213" s="390">
        <v>43375</v>
      </c>
      <c r="B213" s="366" t="s">
        <v>166</v>
      </c>
      <c r="C213" s="44" t="s">
        <v>31</v>
      </c>
      <c r="D213" s="44" t="s">
        <v>30</v>
      </c>
      <c r="E213" s="44" t="s">
        <v>81</v>
      </c>
      <c r="F213" s="44">
        <v>86</v>
      </c>
      <c r="G213" s="44">
        <v>72</v>
      </c>
      <c r="H213" s="515"/>
      <c r="I213" s="44">
        <v>677.4</v>
      </c>
      <c r="J213" s="60"/>
      <c r="K213" s="199"/>
      <c r="L213" s="327"/>
    </row>
    <row r="214" spans="1:863" ht="15.75" customHeight="1" x14ac:dyDescent="0.25">
      <c r="A214" s="390">
        <v>43375</v>
      </c>
      <c r="B214" s="366" t="s">
        <v>166</v>
      </c>
      <c r="C214" s="44" t="s">
        <v>31</v>
      </c>
      <c r="D214" s="44" t="s">
        <v>30</v>
      </c>
      <c r="E214" s="44" t="s">
        <v>81</v>
      </c>
      <c r="F214" s="44">
        <v>88</v>
      </c>
      <c r="G214" s="44">
        <v>36</v>
      </c>
      <c r="H214" s="516"/>
      <c r="I214" s="44">
        <v>338.7</v>
      </c>
      <c r="J214" s="60"/>
      <c r="K214" s="199"/>
      <c r="L214" s="327"/>
    </row>
    <row r="215" spans="1:863" ht="15.75" customHeight="1" x14ac:dyDescent="0.25">
      <c r="A215" s="390">
        <v>43375</v>
      </c>
      <c r="B215" s="367" t="s">
        <v>167</v>
      </c>
      <c r="C215" s="71" t="s">
        <v>31</v>
      </c>
      <c r="D215" s="71" t="s">
        <v>30</v>
      </c>
      <c r="E215" s="71" t="s">
        <v>81</v>
      </c>
      <c r="F215" s="71">
        <v>86</v>
      </c>
      <c r="G215" s="71">
        <v>216</v>
      </c>
      <c r="H215" s="517">
        <v>3370</v>
      </c>
      <c r="I215" s="71">
        <v>2022</v>
      </c>
      <c r="J215" s="72"/>
      <c r="K215" s="280" t="s">
        <v>207</v>
      </c>
      <c r="L215" s="279" t="s">
        <v>150</v>
      </c>
      <c r="M215" s="239"/>
    </row>
    <row r="216" spans="1:863" ht="15.75" customHeight="1" x14ac:dyDescent="0.25">
      <c r="A216" s="390">
        <v>43375</v>
      </c>
      <c r="B216" s="367" t="s">
        <v>167</v>
      </c>
      <c r="C216" s="71" t="s">
        <v>31</v>
      </c>
      <c r="D216" s="71" t="s">
        <v>30</v>
      </c>
      <c r="E216" s="71" t="s">
        <v>81</v>
      </c>
      <c r="F216" s="71">
        <v>88</v>
      </c>
      <c r="G216" s="71">
        <v>144</v>
      </c>
      <c r="H216" s="518"/>
      <c r="I216" s="71">
        <v>1348</v>
      </c>
      <c r="J216" s="72"/>
      <c r="K216" s="280" t="s">
        <v>207</v>
      </c>
      <c r="L216" s="279" t="s">
        <v>150</v>
      </c>
      <c r="M216" s="239"/>
    </row>
    <row r="217" spans="1:863" ht="15.75" customHeight="1" x14ac:dyDescent="0.25">
      <c r="A217" s="390">
        <v>43375</v>
      </c>
      <c r="B217" s="367" t="s">
        <v>168</v>
      </c>
      <c r="C217" s="71" t="s">
        <v>31</v>
      </c>
      <c r="D217" s="71" t="s">
        <v>30</v>
      </c>
      <c r="E217" s="71" t="s">
        <v>81</v>
      </c>
      <c r="F217" s="71">
        <v>77</v>
      </c>
      <c r="G217" s="71">
        <v>144</v>
      </c>
      <c r="H217" s="517">
        <v>2830</v>
      </c>
      <c r="I217" s="71">
        <v>1415</v>
      </c>
      <c r="J217" s="72"/>
      <c r="K217" s="280" t="s">
        <v>207</v>
      </c>
      <c r="L217" s="279" t="s">
        <v>150</v>
      </c>
      <c r="M217" s="239"/>
    </row>
    <row r="218" spans="1:863" ht="15.75" customHeight="1" x14ac:dyDescent="0.25">
      <c r="A218" s="390">
        <v>43375</v>
      </c>
      <c r="B218" s="367" t="s">
        <v>168</v>
      </c>
      <c r="C218" s="71" t="s">
        <v>31</v>
      </c>
      <c r="D218" s="71" t="s">
        <v>30</v>
      </c>
      <c r="E218" s="71" t="s">
        <v>81</v>
      </c>
      <c r="F218" s="71">
        <v>81</v>
      </c>
      <c r="G218" s="71">
        <v>144</v>
      </c>
      <c r="H218" s="518"/>
      <c r="I218" s="71">
        <v>1415</v>
      </c>
      <c r="J218" s="72"/>
      <c r="K218" s="280" t="s">
        <v>207</v>
      </c>
      <c r="L218" s="279" t="s">
        <v>150</v>
      </c>
      <c r="M218" s="239"/>
    </row>
    <row r="219" spans="1:863" ht="17.25" customHeight="1" x14ac:dyDescent="0.3">
      <c r="A219" s="390">
        <v>43375</v>
      </c>
      <c r="B219" s="107" t="s">
        <v>169</v>
      </c>
      <c r="C219" s="44" t="s">
        <v>31</v>
      </c>
      <c r="D219" s="44" t="s">
        <v>30</v>
      </c>
      <c r="E219" s="44" t="s">
        <v>81</v>
      </c>
      <c r="F219" s="44">
        <v>86</v>
      </c>
      <c r="G219" s="44">
        <v>360</v>
      </c>
      <c r="H219" s="45">
        <v>3490</v>
      </c>
      <c r="I219" s="44">
        <v>3490</v>
      </c>
      <c r="J219" s="60"/>
      <c r="K219" s="199"/>
      <c r="L219" s="323"/>
    </row>
    <row r="220" spans="1:863" ht="17.25" customHeight="1" x14ac:dyDescent="0.3">
      <c r="A220" s="390">
        <v>43375</v>
      </c>
      <c r="B220" s="362" t="s">
        <v>170</v>
      </c>
      <c r="C220" s="44" t="s">
        <v>31</v>
      </c>
      <c r="D220" s="48" t="s">
        <v>30</v>
      </c>
      <c r="E220" s="44" t="s">
        <v>81</v>
      </c>
      <c r="F220" s="44">
        <v>77</v>
      </c>
      <c r="G220" s="44">
        <v>252</v>
      </c>
      <c r="H220" s="453">
        <v>3370</v>
      </c>
      <c r="I220" s="44">
        <v>2359</v>
      </c>
      <c r="J220" s="61"/>
      <c r="K220" s="328"/>
      <c r="L220" s="228"/>
    </row>
    <row r="221" spans="1:863" ht="17.25" customHeight="1" x14ac:dyDescent="0.3">
      <c r="A221" s="390">
        <v>43375</v>
      </c>
      <c r="B221" s="362" t="s">
        <v>170</v>
      </c>
      <c r="C221" s="44" t="s">
        <v>31</v>
      </c>
      <c r="D221" s="48" t="s">
        <v>30</v>
      </c>
      <c r="E221" s="44" t="s">
        <v>81</v>
      </c>
      <c r="F221" s="44">
        <v>81</v>
      </c>
      <c r="G221" s="44">
        <v>108</v>
      </c>
      <c r="H221" s="454"/>
      <c r="I221" s="44">
        <v>1011</v>
      </c>
      <c r="J221" s="61"/>
      <c r="K221" s="194"/>
      <c r="L221" s="228"/>
    </row>
    <row r="222" spans="1:863" s="180" customFormat="1" ht="15.75" customHeight="1" x14ac:dyDescent="0.25">
      <c r="A222" s="390">
        <v>43375</v>
      </c>
      <c r="B222" s="177" t="s">
        <v>171</v>
      </c>
      <c r="C222" s="178" t="s">
        <v>31</v>
      </c>
      <c r="D222" s="178" t="s">
        <v>30</v>
      </c>
      <c r="E222" s="178" t="s">
        <v>81</v>
      </c>
      <c r="F222" s="178">
        <v>86</v>
      </c>
      <c r="G222" s="178">
        <v>288</v>
      </c>
      <c r="H222" s="176">
        <v>1924</v>
      </c>
      <c r="I222" s="178">
        <v>2670</v>
      </c>
      <c r="J222" s="179"/>
      <c r="K222" s="281" t="s">
        <v>396</v>
      </c>
      <c r="L222" s="282" t="s">
        <v>395</v>
      </c>
      <c r="M222" s="510" t="s">
        <v>437</v>
      </c>
      <c r="N222" s="226"/>
      <c r="O222" s="121"/>
      <c r="P222" s="121"/>
      <c r="Q222" s="121"/>
      <c r="R222" s="121"/>
      <c r="S222" s="121"/>
      <c r="T222" s="121"/>
      <c r="U222" s="121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21"/>
      <c r="AH222" s="121"/>
      <c r="AI222" s="121"/>
      <c r="AJ222" s="121"/>
      <c r="AK222" s="121"/>
      <c r="AL222" s="121"/>
      <c r="AM222" s="121"/>
      <c r="AN222" s="121"/>
      <c r="AO222" s="121"/>
      <c r="AP222" s="121"/>
      <c r="AQ222" s="121"/>
      <c r="AR222" s="121"/>
      <c r="AS222" s="121"/>
      <c r="AT222" s="121"/>
      <c r="AU222" s="121"/>
      <c r="AV222" s="121"/>
      <c r="AW222" s="121"/>
      <c r="AX222" s="121"/>
      <c r="AY222" s="121"/>
      <c r="AZ222" s="121"/>
      <c r="BA222" s="121"/>
      <c r="BB222" s="121"/>
      <c r="BC222" s="121"/>
      <c r="BD222" s="121"/>
      <c r="BE222" s="121"/>
      <c r="BF222" s="121"/>
      <c r="BG222" s="121"/>
      <c r="BH222" s="121"/>
      <c r="BI222" s="121"/>
      <c r="BJ222" s="121"/>
      <c r="BK222" s="121"/>
      <c r="BL222" s="121"/>
      <c r="BM222" s="121"/>
      <c r="BN222" s="121"/>
      <c r="BO222" s="121"/>
      <c r="BP222" s="121"/>
      <c r="BQ222" s="121"/>
      <c r="BR222" s="121"/>
      <c r="BS222" s="121"/>
      <c r="BT222" s="121"/>
      <c r="BU222" s="121"/>
      <c r="BV222" s="121"/>
      <c r="BW222" s="121"/>
      <c r="BX222" s="121"/>
      <c r="BY222" s="121"/>
      <c r="BZ222" s="121"/>
      <c r="CA222" s="121"/>
      <c r="CB222" s="121"/>
      <c r="CC222" s="121"/>
      <c r="CD222" s="121"/>
      <c r="CE222" s="121"/>
      <c r="CF222" s="121"/>
      <c r="CG222" s="121"/>
      <c r="CH222" s="121"/>
      <c r="CI222" s="121"/>
      <c r="CJ222" s="121"/>
      <c r="CK222" s="121"/>
      <c r="CL222" s="121"/>
      <c r="CM222" s="121"/>
      <c r="CN222" s="121"/>
      <c r="CO222" s="121"/>
      <c r="CP222" s="121"/>
      <c r="CQ222" s="121"/>
      <c r="CR222" s="121"/>
      <c r="CS222" s="121"/>
      <c r="CT222" s="121"/>
      <c r="CU222" s="121"/>
      <c r="CV222" s="121"/>
      <c r="CW222" s="121"/>
      <c r="CX222" s="121"/>
      <c r="CY222" s="121"/>
      <c r="CZ222" s="121"/>
      <c r="DA222" s="121"/>
      <c r="DB222" s="121"/>
      <c r="DC222" s="121"/>
      <c r="DD222" s="121"/>
      <c r="DE222" s="121"/>
      <c r="DF222" s="121"/>
      <c r="DG222" s="121"/>
      <c r="DH222" s="121"/>
      <c r="DI222" s="121"/>
      <c r="DJ222" s="121"/>
      <c r="DK222" s="121"/>
      <c r="DL222" s="121"/>
      <c r="DM222" s="121"/>
      <c r="DN222" s="121"/>
      <c r="DO222" s="121"/>
      <c r="DP222" s="121"/>
      <c r="DQ222" s="121"/>
      <c r="DR222" s="121"/>
      <c r="DS222" s="121"/>
      <c r="DT222" s="121"/>
      <c r="DU222" s="121"/>
      <c r="DV222" s="121"/>
      <c r="DW222" s="121"/>
      <c r="DX222" s="121"/>
      <c r="DY222" s="121"/>
      <c r="DZ222" s="121"/>
      <c r="EA222" s="121"/>
      <c r="EB222" s="121"/>
      <c r="EC222" s="121"/>
      <c r="ED222" s="121"/>
      <c r="EE222" s="121"/>
      <c r="EF222" s="121"/>
      <c r="EG222" s="121"/>
      <c r="EH222" s="121"/>
      <c r="EI222" s="121"/>
      <c r="EJ222" s="121"/>
      <c r="EK222" s="121"/>
      <c r="EL222" s="121"/>
      <c r="EM222" s="121"/>
      <c r="EN222" s="121"/>
      <c r="EO222" s="121"/>
      <c r="EP222" s="121"/>
      <c r="EQ222" s="121"/>
      <c r="ER222" s="121"/>
      <c r="ES222" s="121"/>
      <c r="ET222" s="121"/>
      <c r="EU222" s="121"/>
      <c r="EV222" s="121"/>
      <c r="EW222" s="121"/>
      <c r="EX222" s="121"/>
      <c r="EY222" s="121"/>
      <c r="EZ222" s="121"/>
      <c r="FA222" s="121"/>
      <c r="FB222" s="121"/>
      <c r="FC222" s="121"/>
      <c r="FD222" s="121"/>
      <c r="FE222" s="121"/>
      <c r="FF222" s="121"/>
      <c r="FG222" s="121"/>
      <c r="FH222" s="121"/>
      <c r="FI222" s="121"/>
      <c r="FJ222" s="121"/>
      <c r="FK222" s="121"/>
      <c r="FL222" s="121"/>
      <c r="FM222" s="121"/>
      <c r="FN222" s="121"/>
      <c r="FO222" s="121"/>
      <c r="FP222" s="121"/>
      <c r="FQ222" s="121"/>
      <c r="FR222" s="121"/>
      <c r="FS222" s="121"/>
      <c r="FT222" s="121"/>
      <c r="FU222" s="121"/>
      <c r="FV222" s="121"/>
      <c r="FW222" s="121"/>
      <c r="FX222" s="121"/>
      <c r="FY222" s="121"/>
      <c r="FZ222" s="121"/>
      <c r="GA222" s="121"/>
      <c r="GB222" s="121"/>
      <c r="GC222" s="121"/>
      <c r="GD222" s="121"/>
      <c r="GE222" s="121"/>
      <c r="GF222" s="121"/>
      <c r="GG222" s="121"/>
      <c r="GH222" s="121"/>
      <c r="GI222" s="121"/>
      <c r="GJ222" s="121"/>
      <c r="GK222" s="121"/>
      <c r="GL222" s="121"/>
      <c r="GM222" s="121"/>
      <c r="GN222" s="121"/>
      <c r="GO222" s="121"/>
      <c r="GP222" s="121"/>
      <c r="GQ222" s="121"/>
      <c r="GR222" s="121"/>
      <c r="GS222" s="121"/>
      <c r="GT222" s="121"/>
      <c r="GU222" s="121"/>
      <c r="GV222" s="121"/>
      <c r="GW222" s="121"/>
      <c r="GX222" s="121"/>
      <c r="GY222" s="121"/>
      <c r="GZ222" s="121"/>
      <c r="HA222" s="121"/>
      <c r="HB222" s="121"/>
      <c r="HC222" s="121"/>
      <c r="HD222" s="121"/>
      <c r="HE222" s="121"/>
      <c r="HF222" s="121"/>
      <c r="HG222" s="121"/>
      <c r="HH222" s="121"/>
      <c r="HI222" s="121"/>
      <c r="HJ222" s="121"/>
      <c r="HK222" s="121"/>
      <c r="HL222" s="121"/>
      <c r="HM222" s="121"/>
      <c r="HN222" s="121"/>
      <c r="HO222" s="121"/>
      <c r="HP222" s="121"/>
      <c r="HQ222" s="121"/>
      <c r="HR222" s="121"/>
      <c r="HS222" s="121"/>
      <c r="HT222" s="121"/>
      <c r="HU222" s="121"/>
      <c r="HV222" s="121"/>
      <c r="HW222" s="121"/>
      <c r="HX222" s="121"/>
      <c r="HY222" s="121"/>
      <c r="HZ222" s="121"/>
      <c r="IA222" s="121"/>
      <c r="IB222" s="121"/>
      <c r="IC222" s="121"/>
      <c r="ID222" s="121"/>
      <c r="IE222" s="121"/>
      <c r="IF222" s="121"/>
      <c r="IG222" s="121"/>
      <c r="IH222" s="121"/>
      <c r="II222" s="121"/>
      <c r="IJ222" s="121"/>
      <c r="IK222" s="121"/>
      <c r="IL222" s="121"/>
      <c r="IM222" s="121"/>
      <c r="IN222" s="121"/>
      <c r="IO222" s="121"/>
      <c r="IP222" s="121"/>
      <c r="IQ222" s="121"/>
      <c r="IR222" s="121"/>
      <c r="IS222" s="121"/>
      <c r="IT222" s="121"/>
      <c r="IU222" s="121"/>
      <c r="IV222" s="121"/>
      <c r="IW222" s="121"/>
      <c r="IX222" s="121"/>
      <c r="IY222" s="121"/>
      <c r="IZ222" s="121"/>
      <c r="JA222" s="121"/>
      <c r="JB222" s="121"/>
      <c r="JC222" s="121"/>
      <c r="JD222" s="121"/>
      <c r="JE222" s="121"/>
      <c r="JF222" s="121"/>
      <c r="JG222" s="121"/>
      <c r="JH222" s="121"/>
      <c r="JI222" s="121"/>
      <c r="JJ222" s="121"/>
      <c r="JK222" s="121"/>
      <c r="JL222" s="121"/>
      <c r="JM222" s="121"/>
      <c r="JN222" s="121"/>
      <c r="JO222" s="121"/>
      <c r="JP222" s="121"/>
      <c r="JQ222" s="121"/>
      <c r="JR222" s="121"/>
      <c r="JS222" s="121"/>
      <c r="JT222" s="121"/>
      <c r="JU222" s="121"/>
      <c r="JV222" s="121"/>
      <c r="JW222" s="121"/>
      <c r="JX222" s="121"/>
      <c r="JY222" s="121"/>
      <c r="JZ222" s="121"/>
      <c r="KA222" s="121"/>
      <c r="KB222" s="121"/>
      <c r="KC222" s="121"/>
      <c r="KD222" s="121"/>
      <c r="KE222" s="121"/>
      <c r="KF222" s="121"/>
      <c r="KG222" s="121"/>
      <c r="KH222" s="121"/>
      <c r="KI222" s="121"/>
      <c r="KJ222" s="121"/>
      <c r="KK222" s="121"/>
      <c r="KL222" s="121"/>
      <c r="KM222" s="121"/>
      <c r="KN222" s="121"/>
      <c r="KO222" s="121"/>
      <c r="KP222" s="121"/>
      <c r="KQ222" s="121"/>
      <c r="KR222" s="121"/>
      <c r="KS222" s="121"/>
      <c r="KT222" s="121"/>
      <c r="KU222" s="121"/>
      <c r="KV222" s="121"/>
      <c r="KW222" s="121"/>
      <c r="KX222" s="121"/>
      <c r="KY222" s="121"/>
      <c r="KZ222" s="121"/>
      <c r="LA222" s="121"/>
      <c r="LB222" s="121"/>
      <c r="LC222" s="121"/>
      <c r="LD222" s="121"/>
      <c r="LE222" s="121"/>
      <c r="LF222" s="121"/>
      <c r="LG222" s="121"/>
      <c r="LH222" s="121"/>
      <c r="LI222" s="121"/>
      <c r="LJ222" s="121"/>
      <c r="LK222" s="121"/>
      <c r="LL222" s="121"/>
      <c r="LM222" s="121"/>
      <c r="LN222" s="121"/>
      <c r="LO222" s="121"/>
      <c r="LP222" s="121"/>
      <c r="LQ222" s="121"/>
      <c r="LR222" s="121"/>
      <c r="LS222" s="121"/>
      <c r="LT222" s="121"/>
      <c r="LU222" s="121"/>
      <c r="LV222" s="121"/>
      <c r="LW222" s="121"/>
      <c r="LX222" s="121"/>
      <c r="LY222" s="121"/>
      <c r="LZ222" s="121"/>
      <c r="MA222" s="121"/>
      <c r="MB222" s="121"/>
      <c r="MC222" s="121"/>
      <c r="MD222" s="121"/>
      <c r="ME222" s="121"/>
      <c r="MF222" s="121"/>
      <c r="MG222" s="121"/>
      <c r="MH222" s="121"/>
      <c r="MI222" s="121"/>
      <c r="MJ222" s="121"/>
      <c r="MK222" s="121"/>
      <c r="ML222" s="121"/>
      <c r="MM222" s="121"/>
      <c r="MN222" s="121"/>
      <c r="MO222" s="121"/>
      <c r="MP222" s="121"/>
      <c r="MQ222" s="121"/>
      <c r="MR222" s="121"/>
      <c r="MS222" s="121"/>
      <c r="MT222" s="121"/>
      <c r="MU222" s="121"/>
      <c r="MV222" s="121"/>
      <c r="MW222" s="121"/>
      <c r="MX222" s="121"/>
      <c r="MY222" s="121"/>
      <c r="MZ222" s="121"/>
      <c r="NA222" s="121"/>
      <c r="NB222" s="121"/>
      <c r="NC222" s="121"/>
      <c r="ND222" s="121"/>
      <c r="NE222" s="121"/>
      <c r="NF222" s="121"/>
      <c r="NG222" s="121"/>
      <c r="NH222" s="121"/>
      <c r="NI222" s="121"/>
      <c r="NJ222" s="121"/>
      <c r="NK222" s="121"/>
      <c r="NL222" s="121"/>
      <c r="NM222" s="121"/>
      <c r="NN222" s="121"/>
      <c r="NO222" s="121"/>
      <c r="NP222" s="121"/>
      <c r="NQ222" s="121"/>
      <c r="NR222" s="121"/>
      <c r="NS222" s="121"/>
      <c r="NT222" s="121"/>
      <c r="NU222" s="121"/>
      <c r="NV222" s="121"/>
      <c r="NW222" s="121"/>
      <c r="NX222" s="121"/>
      <c r="NY222" s="121"/>
      <c r="NZ222" s="121"/>
      <c r="OA222" s="121"/>
      <c r="OB222" s="121"/>
      <c r="OC222" s="121"/>
      <c r="OD222" s="121"/>
      <c r="OE222" s="121"/>
      <c r="OF222" s="121"/>
      <c r="OG222" s="121"/>
      <c r="OH222" s="121"/>
      <c r="OI222" s="121"/>
      <c r="OJ222" s="121"/>
      <c r="OK222" s="121"/>
      <c r="OL222" s="121"/>
      <c r="OM222" s="121"/>
      <c r="ON222" s="121"/>
      <c r="OO222" s="121"/>
      <c r="OP222" s="121"/>
      <c r="OQ222" s="121"/>
      <c r="OR222" s="121"/>
      <c r="OS222" s="121"/>
      <c r="OT222" s="121"/>
      <c r="OU222" s="121"/>
      <c r="OV222" s="121"/>
      <c r="OW222" s="121"/>
      <c r="OX222" s="121"/>
      <c r="OY222" s="121"/>
      <c r="OZ222" s="121"/>
      <c r="PA222" s="121"/>
      <c r="PB222" s="121"/>
      <c r="PC222" s="121"/>
      <c r="PD222" s="121"/>
      <c r="PE222" s="121"/>
      <c r="PF222" s="121"/>
      <c r="PG222" s="121"/>
      <c r="PH222" s="121"/>
      <c r="PI222" s="121"/>
      <c r="PJ222" s="121"/>
      <c r="PK222" s="121"/>
      <c r="PL222" s="121"/>
      <c r="PM222" s="121"/>
      <c r="PN222" s="121"/>
      <c r="PO222" s="121"/>
      <c r="PP222" s="121"/>
      <c r="PQ222" s="121"/>
      <c r="PR222" s="121"/>
      <c r="PS222" s="121"/>
      <c r="PT222" s="121"/>
      <c r="PU222" s="121"/>
      <c r="PV222" s="121"/>
      <c r="PW222" s="121"/>
      <c r="PX222" s="121"/>
      <c r="PY222" s="121"/>
      <c r="PZ222" s="121"/>
      <c r="QA222" s="121"/>
      <c r="QB222" s="121"/>
      <c r="QC222" s="121"/>
      <c r="QD222" s="121"/>
      <c r="QE222" s="121"/>
      <c r="QF222" s="121"/>
      <c r="QG222" s="121"/>
      <c r="QH222" s="121"/>
      <c r="QI222" s="121"/>
      <c r="QJ222" s="121"/>
      <c r="QK222" s="121"/>
      <c r="QL222" s="121"/>
      <c r="QM222" s="121"/>
      <c r="QN222" s="121"/>
      <c r="QO222" s="121"/>
      <c r="QP222" s="121"/>
      <c r="QQ222" s="121"/>
      <c r="QR222" s="121"/>
      <c r="QS222" s="121"/>
      <c r="QT222" s="121"/>
      <c r="QU222" s="121"/>
      <c r="QV222" s="121"/>
      <c r="QW222" s="121"/>
      <c r="QX222" s="121"/>
      <c r="QY222" s="121"/>
      <c r="QZ222" s="121"/>
      <c r="RA222" s="121"/>
      <c r="RB222" s="121"/>
      <c r="RC222" s="121"/>
      <c r="RD222" s="121"/>
      <c r="RE222" s="121"/>
      <c r="RF222" s="121"/>
      <c r="RG222" s="121"/>
      <c r="RH222" s="121"/>
      <c r="RI222" s="121"/>
      <c r="RJ222" s="121"/>
      <c r="RK222" s="121"/>
      <c r="RL222" s="121"/>
      <c r="RM222" s="121"/>
      <c r="RN222" s="121"/>
      <c r="RO222" s="121"/>
      <c r="RP222" s="121"/>
      <c r="RQ222" s="121"/>
      <c r="RR222" s="121"/>
      <c r="RS222" s="121"/>
      <c r="RT222" s="121"/>
      <c r="RU222" s="121"/>
      <c r="RV222" s="121"/>
      <c r="RW222" s="121"/>
      <c r="RX222" s="121"/>
      <c r="RY222" s="121"/>
      <c r="RZ222" s="121"/>
      <c r="SA222" s="121"/>
      <c r="SB222" s="121"/>
      <c r="SC222" s="121"/>
      <c r="SD222" s="121"/>
      <c r="SE222" s="121"/>
      <c r="SF222" s="121"/>
      <c r="SG222" s="121"/>
      <c r="SH222" s="121"/>
      <c r="SI222" s="121"/>
      <c r="SJ222" s="121"/>
      <c r="SK222" s="121"/>
      <c r="SL222" s="121"/>
      <c r="SM222" s="121"/>
      <c r="SN222" s="121"/>
      <c r="SO222" s="121"/>
      <c r="SP222" s="121"/>
      <c r="SQ222" s="121"/>
      <c r="SR222" s="121"/>
      <c r="SS222" s="121"/>
      <c r="ST222" s="121"/>
      <c r="SU222" s="121"/>
      <c r="SV222" s="121"/>
      <c r="SW222" s="121"/>
      <c r="SX222" s="121"/>
      <c r="SY222" s="121"/>
      <c r="SZ222" s="121"/>
      <c r="TA222" s="121"/>
      <c r="TB222" s="121"/>
      <c r="TC222" s="121"/>
      <c r="TD222" s="121"/>
      <c r="TE222" s="121"/>
      <c r="TF222" s="121"/>
      <c r="TG222" s="121"/>
      <c r="TH222" s="121"/>
      <c r="TI222" s="121"/>
      <c r="TJ222" s="121"/>
      <c r="TK222" s="121"/>
      <c r="TL222" s="121"/>
      <c r="TM222" s="121"/>
      <c r="TN222" s="121"/>
      <c r="TO222" s="121"/>
      <c r="TP222" s="121"/>
      <c r="TQ222" s="121"/>
      <c r="TR222" s="121"/>
      <c r="TS222" s="121"/>
      <c r="TT222" s="121"/>
      <c r="TU222" s="121"/>
      <c r="TV222" s="121"/>
      <c r="TW222" s="121"/>
      <c r="TX222" s="121"/>
      <c r="TY222" s="121"/>
      <c r="TZ222" s="121"/>
      <c r="UA222" s="121"/>
      <c r="UB222" s="121"/>
      <c r="UC222" s="121"/>
      <c r="UD222" s="121"/>
      <c r="UE222" s="121"/>
      <c r="UF222" s="121"/>
      <c r="UG222" s="121"/>
      <c r="UH222" s="121"/>
      <c r="UI222" s="121"/>
      <c r="UJ222" s="121"/>
      <c r="UK222" s="121"/>
      <c r="UL222" s="121"/>
      <c r="UM222" s="121"/>
      <c r="UN222" s="121"/>
      <c r="UO222" s="121"/>
      <c r="UP222" s="121"/>
      <c r="UQ222" s="121"/>
      <c r="UR222" s="121"/>
      <c r="US222" s="121"/>
      <c r="UT222" s="121"/>
      <c r="UU222" s="121"/>
      <c r="UV222" s="121"/>
      <c r="UW222" s="121"/>
      <c r="UX222" s="121"/>
      <c r="UY222" s="121"/>
      <c r="UZ222" s="121"/>
      <c r="VA222" s="121"/>
      <c r="VB222" s="121"/>
      <c r="VC222" s="121"/>
      <c r="VD222" s="121"/>
      <c r="VE222" s="121"/>
      <c r="VF222" s="121"/>
      <c r="VG222" s="121"/>
      <c r="VH222" s="121"/>
      <c r="VI222" s="121"/>
      <c r="VJ222" s="121"/>
      <c r="VK222" s="121"/>
      <c r="VL222" s="121"/>
      <c r="VM222" s="121"/>
      <c r="VN222" s="121"/>
      <c r="VO222" s="121"/>
      <c r="VP222" s="121"/>
      <c r="VQ222" s="121"/>
      <c r="VR222" s="121"/>
      <c r="VS222" s="121"/>
      <c r="VT222" s="121"/>
      <c r="VU222" s="121"/>
      <c r="VV222" s="121"/>
      <c r="VW222" s="121"/>
      <c r="VX222" s="121"/>
      <c r="VY222" s="121"/>
      <c r="VZ222" s="121"/>
      <c r="WA222" s="121"/>
      <c r="WB222" s="121"/>
      <c r="WC222" s="121"/>
      <c r="WD222" s="121"/>
      <c r="WE222" s="121"/>
      <c r="WF222" s="121"/>
      <c r="WG222" s="121"/>
      <c r="WH222" s="121"/>
      <c r="WI222" s="121"/>
      <c r="WJ222" s="121"/>
      <c r="WK222" s="121"/>
      <c r="WL222" s="121"/>
      <c r="WM222" s="121"/>
      <c r="WN222" s="121"/>
      <c r="WO222" s="121"/>
      <c r="WP222" s="121"/>
      <c r="WQ222" s="121"/>
      <c r="WR222" s="121"/>
      <c r="WS222" s="121"/>
      <c r="WT222" s="121"/>
      <c r="WU222" s="121"/>
      <c r="WV222" s="121"/>
      <c r="WW222" s="121"/>
      <c r="WX222" s="121"/>
      <c r="WY222" s="121"/>
      <c r="WZ222" s="121"/>
      <c r="XA222" s="121"/>
      <c r="XB222" s="121"/>
      <c r="XC222" s="121"/>
      <c r="XD222" s="121"/>
      <c r="XE222" s="121"/>
      <c r="XF222" s="121"/>
      <c r="XG222" s="121"/>
      <c r="XH222" s="121"/>
      <c r="XI222" s="121"/>
      <c r="XJ222" s="121"/>
      <c r="XK222" s="121"/>
      <c r="XL222" s="121"/>
      <c r="XM222" s="121"/>
      <c r="XN222" s="121"/>
      <c r="XO222" s="121"/>
      <c r="XP222" s="121"/>
      <c r="XQ222" s="121"/>
      <c r="XR222" s="121"/>
      <c r="XS222" s="121"/>
      <c r="XT222" s="121"/>
      <c r="XU222" s="121"/>
      <c r="XV222" s="121"/>
      <c r="XW222" s="121"/>
      <c r="XX222" s="121"/>
      <c r="XY222" s="121"/>
      <c r="XZ222" s="121"/>
      <c r="YA222" s="121"/>
      <c r="YB222" s="121"/>
      <c r="YC222" s="121"/>
      <c r="YD222" s="121"/>
      <c r="YE222" s="121"/>
      <c r="YF222" s="121"/>
      <c r="YG222" s="121"/>
      <c r="YH222" s="121"/>
      <c r="YI222" s="121"/>
      <c r="YJ222" s="121"/>
      <c r="YK222" s="121"/>
      <c r="YL222" s="121"/>
      <c r="YM222" s="121"/>
      <c r="YN222" s="121"/>
      <c r="YO222" s="121"/>
      <c r="YP222" s="121"/>
      <c r="YQ222" s="121"/>
      <c r="YR222" s="121"/>
      <c r="YS222" s="121"/>
      <c r="YT222" s="121"/>
      <c r="YU222" s="121"/>
      <c r="YV222" s="121"/>
      <c r="YW222" s="121"/>
      <c r="YX222" s="121"/>
      <c r="YY222" s="121"/>
      <c r="YZ222" s="121"/>
      <c r="ZA222" s="121"/>
      <c r="ZB222" s="121"/>
      <c r="ZC222" s="121"/>
      <c r="ZD222" s="121"/>
      <c r="ZE222" s="121"/>
      <c r="ZF222" s="121"/>
      <c r="ZG222" s="121"/>
      <c r="ZH222" s="121"/>
      <c r="ZI222" s="121"/>
      <c r="ZJ222" s="121"/>
      <c r="ZK222" s="121"/>
      <c r="ZL222" s="121"/>
      <c r="ZM222" s="121"/>
      <c r="ZN222" s="121"/>
      <c r="ZO222" s="121"/>
      <c r="ZP222" s="121"/>
      <c r="ZQ222" s="121"/>
      <c r="ZR222" s="121"/>
      <c r="ZS222" s="121"/>
      <c r="ZT222" s="121"/>
      <c r="ZU222" s="121"/>
      <c r="ZV222" s="121"/>
      <c r="ZW222" s="121"/>
      <c r="ZX222" s="121"/>
      <c r="ZY222" s="121"/>
      <c r="ZZ222" s="121"/>
      <c r="AAA222" s="121"/>
      <c r="AAB222" s="121"/>
      <c r="AAC222" s="121"/>
      <c r="AAD222" s="121"/>
      <c r="AAE222" s="121"/>
      <c r="AAF222" s="121"/>
      <c r="AAG222" s="121"/>
      <c r="AAH222" s="121"/>
      <c r="AAI222" s="121"/>
      <c r="AAJ222" s="121"/>
      <c r="AAK222" s="121"/>
      <c r="AAL222" s="121"/>
      <c r="AAM222" s="121"/>
      <c r="AAN222" s="121"/>
      <c r="AAO222" s="121"/>
      <c r="AAP222" s="121"/>
      <c r="AAQ222" s="121"/>
      <c r="AAR222" s="121"/>
      <c r="AAS222" s="121"/>
      <c r="AAT222" s="121"/>
      <c r="AAU222" s="121"/>
      <c r="AAV222" s="121"/>
      <c r="AAW222" s="121"/>
      <c r="AAX222" s="121"/>
      <c r="AAY222" s="121"/>
      <c r="AAZ222" s="121"/>
      <c r="ABA222" s="121"/>
      <c r="ABB222" s="121"/>
      <c r="ABC222" s="121"/>
      <c r="ABD222" s="121"/>
      <c r="ABE222" s="121"/>
      <c r="ABF222" s="121"/>
      <c r="ABG222" s="121"/>
      <c r="ABH222" s="121"/>
      <c r="ABI222" s="121"/>
      <c r="ABJ222" s="121"/>
      <c r="ABK222" s="121"/>
      <c r="ABL222" s="121"/>
      <c r="ABM222" s="121"/>
      <c r="ABN222" s="121"/>
      <c r="ABO222" s="121"/>
      <c r="ABP222" s="121"/>
      <c r="ABQ222" s="121"/>
      <c r="ABR222" s="121"/>
      <c r="ABS222" s="121"/>
      <c r="ABT222" s="121"/>
      <c r="ABU222" s="121"/>
      <c r="ABV222" s="121"/>
      <c r="ABW222" s="121"/>
      <c r="ABX222" s="121"/>
      <c r="ABY222" s="121"/>
      <c r="ABZ222" s="121"/>
      <c r="ACA222" s="121"/>
      <c r="ACB222" s="121"/>
      <c r="ACC222" s="121"/>
      <c r="ACD222" s="121"/>
      <c r="ACE222" s="121"/>
      <c r="ACF222" s="121"/>
      <c r="ACG222" s="121"/>
      <c r="ACH222" s="121"/>
      <c r="ACI222" s="121"/>
      <c r="ACJ222" s="121"/>
      <c r="ACK222" s="121"/>
      <c r="ACL222" s="121"/>
      <c r="ACM222" s="121"/>
      <c r="ACN222" s="121"/>
      <c r="ACO222" s="121"/>
      <c r="ACP222" s="121"/>
      <c r="ACQ222" s="121"/>
      <c r="ACR222" s="121"/>
      <c r="ACS222" s="121"/>
      <c r="ACT222" s="121"/>
      <c r="ACU222" s="121"/>
      <c r="ACV222" s="121"/>
      <c r="ACW222" s="121"/>
      <c r="ACX222" s="121"/>
      <c r="ACY222" s="121"/>
      <c r="ACZ222" s="121"/>
      <c r="ADA222" s="121"/>
      <c r="ADB222" s="121"/>
      <c r="ADC222" s="121"/>
      <c r="ADD222" s="121"/>
      <c r="ADE222" s="121"/>
      <c r="ADF222" s="121"/>
      <c r="ADG222" s="121"/>
      <c r="ADH222" s="121"/>
      <c r="ADI222" s="121"/>
      <c r="ADJ222" s="121"/>
      <c r="ADK222" s="121"/>
      <c r="ADL222" s="121"/>
      <c r="ADM222" s="121"/>
      <c r="ADN222" s="121"/>
      <c r="ADO222" s="121"/>
      <c r="ADP222" s="121"/>
      <c r="ADQ222" s="121"/>
      <c r="ADR222" s="121"/>
      <c r="ADS222" s="121"/>
      <c r="ADT222" s="121"/>
      <c r="ADU222" s="121"/>
      <c r="ADV222" s="121"/>
      <c r="ADW222" s="121"/>
      <c r="ADX222" s="121"/>
      <c r="ADY222" s="121"/>
      <c r="ADZ222" s="121"/>
      <c r="AEA222" s="121"/>
      <c r="AEB222" s="121"/>
      <c r="AEC222" s="121"/>
      <c r="AED222" s="121"/>
      <c r="AEE222" s="121"/>
      <c r="AEF222" s="121"/>
      <c r="AEG222" s="121"/>
      <c r="AEH222" s="121"/>
      <c r="AEI222" s="121"/>
      <c r="AEJ222" s="121"/>
      <c r="AEK222" s="121"/>
      <c r="AEL222" s="121"/>
      <c r="AEM222" s="121"/>
      <c r="AEN222" s="121"/>
      <c r="AEO222" s="121"/>
      <c r="AEP222" s="121"/>
      <c r="AEQ222" s="121"/>
      <c r="AER222" s="121"/>
      <c r="AES222" s="121"/>
      <c r="AET222" s="121"/>
      <c r="AEU222" s="121"/>
      <c r="AEV222" s="121"/>
      <c r="AEW222" s="121"/>
      <c r="AEX222" s="121"/>
      <c r="AEY222" s="121"/>
      <c r="AEZ222" s="121"/>
      <c r="AFA222" s="121"/>
      <c r="AFB222" s="121"/>
      <c r="AFC222" s="121"/>
      <c r="AFD222" s="121"/>
      <c r="AFE222" s="121"/>
      <c r="AFF222" s="121"/>
      <c r="AFG222" s="121"/>
      <c r="AFH222" s="121"/>
      <c r="AFI222" s="121"/>
      <c r="AFJ222" s="121"/>
      <c r="AFK222" s="121"/>
      <c r="AFL222" s="121"/>
      <c r="AFM222" s="121"/>
      <c r="AFN222" s="121"/>
      <c r="AFO222" s="121"/>
      <c r="AFP222" s="121"/>
      <c r="AFQ222" s="121"/>
      <c r="AFR222" s="121"/>
      <c r="AFS222" s="121"/>
      <c r="AFT222" s="121"/>
      <c r="AFU222" s="121"/>
      <c r="AFV222" s="121"/>
      <c r="AFW222" s="121"/>
      <c r="AFX222" s="121"/>
      <c r="AFY222" s="121"/>
      <c r="AFZ222" s="121"/>
      <c r="AGA222" s="121"/>
      <c r="AGB222" s="121"/>
      <c r="AGC222" s="121"/>
      <c r="AGD222" s="121"/>
      <c r="AGE222" s="121"/>
    </row>
    <row r="223" spans="1:863" s="180" customFormat="1" ht="15.75" customHeight="1" x14ac:dyDescent="0.25">
      <c r="A223" s="390">
        <v>43375</v>
      </c>
      <c r="B223" s="177" t="s">
        <v>172</v>
      </c>
      <c r="C223" s="178" t="s">
        <v>31</v>
      </c>
      <c r="D223" s="178" t="s">
        <v>30</v>
      </c>
      <c r="E223" s="178" t="s">
        <v>81</v>
      </c>
      <c r="F223" s="178">
        <v>86</v>
      </c>
      <c r="G223" s="178">
        <v>288</v>
      </c>
      <c r="H223" s="176">
        <v>2680</v>
      </c>
      <c r="I223" s="178">
        <v>2680</v>
      </c>
      <c r="J223" s="179"/>
      <c r="K223" s="281" t="s">
        <v>396</v>
      </c>
      <c r="L223" s="282" t="s">
        <v>395</v>
      </c>
      <c r="M223" s="510"/>
      <c r="N223" s="226"/>
      <c r="O223" s="121"/>
      <c r="P223" s="121"/>
      <c r="Q223" s="121"/>
      <c r="R223" s="121"/>
      <c r="S223" s="121"/>
      <c r="T223" s="121"/>
      <c r="U223" s="121"/>
      <c r="V223" s="121"/>
      <c r="W223" s="121"/>
      <c r="X223" s="121"/>
      <c r="Y223" s="121"/>
      <c r="Z223" s="121"/>
      <c r="AA223" s="121"/>
      <c r="AB223" s="121"/>
      <c r="AC223" s="121"/>
      <c r="AD223" s="121"/>
      <c r="AE223" s="121"/>
      <c r="AF223" s="121"/>
      <c r="AG223" s="121"/>
      <c r="AH223" s="121"/>
      <c r="AI223" s="121"/>
      <c r="AJ223" s="121"/>
      <c r="AK223" s="121"/>
      <c r="AL223" s="121"/>
      <c r="AM223" s="121"/>
      <c r="AN223" s="121"/>
      <c r="AO223" s="121"/>
      <c r="AP223" s="121"/>
      <c r="AQ223" s="121"/>
      <c r="AR223" s="121"/>
      <c r="AS223" s="121"/>
      <c r="AT223" s="121"/>
      <c r="AU223" s="121"/>
      <c r="AV223" s="121"/>
      <c r="AW223" s="121"/>
      <c r="AX223" s="121"/>
      <c r="AY223" s="121"/>
      <c r="AZ223" s="121"/>
      <c r="BA223" s="121"/>
      <c r="BB223" s="121"/>
      <c r="BC223" s="121"/>
      <c r="BD223" s="121"/>
      <c r="BE223" s="121"/>
      <c r="BF223" s="121"/>
      <c r="BG223" s="121"/>
      <c r="BH223" s="121"/>
      <c r="BI223" s="121"/>
      <c r="BJ223" s="121"/>
      <c r="BK223" s="121"/>
      <c r="BL223" s="121"/>
      <c r="BM223" s="121"/>
      <c r="BN223" s="121"/>
      <c r="BO223" s="121"/>
      <c r="BP223" s="121"/>
      <c r="BQ223" s="121"/>
      <c r="BR223" s="121"/>
      <c r="BS223" s="121"/>
      <c r="BT223" s="121"/>
      <c r="BU223" s="121"/>
      <c r="BV223" s="121"/>
      <c r="BW223" s="121"/>
      <c r="BX223" s="121"/>
      <c r="BY223" s="121"/>
      <c r="BZ223" s="121"/>
      <c r="CA223" s="121"/>
      <c r="CB223" s="121"/>
      <c r="CC223" s="121"/>
      <c r="CD223" s="121"/>
      <c r="CE223" s="121"/>
      <c r="CF223" s="121"/>
      <c r="CG223" s="121"/>
      <c r="CH223" s="121"/>
      <c r="CI223" s="121"/>
      <c r="CJ223" s="121"/>
      <c r="CK223" s="121"/>
      <c r="CL223" s="121"/>
      <c r="CM223" s="121"/>
      <c r="CN223" s="121"/>
      <c r="CO223" s="121"/>
      <c r="CP223" s="121"/>
      <c r="CQ223" s="121"/>
      <c r="CR223" s="121"/>
      <c r="CS223" s="121"/>
      <c r="CT223" s="121"/>
      <c r="CU223" s="121"/>
      <c r="CV223" s="121"/>
      <c r="CW223" s="121"/>
      <c r="CX223" s="121"/>
      <c r="CY223" s="121"/>
      <c r="CZ223" s="121"/>
      <c r="DA223" s="121"/>
      <c r="DB223" s="121"/>
      <c r="DC223" s="121"/>
      <c r="DD223" s="121"/>
      <c r="DE223" s="121"/>
      <c r="DF223" s="121"/>
      <c r="DG223" s="121"/>
      <c r="DH223" s="121"/>
      <c r="DI223" s="121"/>
      <c r="DJ223" s="121"/>
      <c r="DK223" s="121"/>
      <c r="DL223" s="121"/>
      <c r="DM223" s="121"/>
      <c r="DN223" s="121"/>
      <c r="DO223" s="121"/>
      <c r="DP223" s="121"/>
      <c r="DQ223" s="121"/>
      <c r="DR223" s="121"/>
      <c r="DS223" s="121"/>
      <c r="DT223" s="121"/>
      <c r="DU223" s="121"/>
      <c r="DV223" s="121"/>
      <c r="DW223" s="121"/>
      <c r="DX223" s="121"/>
      <c r="DY223" s="121"/>
      <c r="DZ223" s="121"/>
      <c r="EA223" s="121"/>
      <c r="EB223" s="121"/>
      <c r="EC223" s="121"/>
      <c r="ED223" s="121"/>
      <c r="EE223" s="121"/>
      <c r="EF223" s="121"/>
      <c r="EG223" s="121"/>
      <c r="EH223" s="121"/>
      <c r="EI223" s="121"/>
      <c r="EJ223" s="121"/>
      <c r="EK223" s="121"/>
      <c r="EL223" s="121"/>
      <c r="EM223" s="121"/>
      <c r="EN223" s="121"/>
      <c r="EO223" s="121"/>
      <c r="EP223" s="121"/>
      <c r="EQ223" s="121"/>
      <c r="ER223" s="121"/>
      <c r="ES223" s="121"/>
      <c r="ET223" s="121"/>
      <c r="EU223" s="121"/>
      <c r="EV223" s="121"/>
      <c r="EW223" s="121"/>
      <c r="EX223" s="121"/>
      <c r="EY223" s="121"/>
      <c r="EZ223" s="121"/>
      <c r="FA223" s="121"/>
      <c r="FB223" s="121"/>
      <c r="FC223" s="121"/>
      <c r="FD223" s="121"/>
      <c r="FE223" s="121"/>
      <c r="FF223" s="121"/>
      <c r="FG223" s="121"/>
      <c r="FH223" s="121"/>
      <c r="FI223" s="121"/>
      <c r="FJ223" s="121"/>
      <c r="FK223" s="121"/>
      <c r="FL223" s="121"/>
      <c r="FM223" s="121"/>
      <c r="FN223" s="121"/>
      <c r="FO223" s="121"/>
      <c r="FP223" s="121"/>
      <c r="FQ223" s="121"/>
      <c r="FR223" s="121"/>
      <c r="FS223" s="121"/>
      <c r="FT223" s="121"/>
      <c r="FU223" s="121"/>
      <c r="FV223" s="121"/>
      <c r="FW223" s="121"/>
      <c r="FX223" s="121"/>
      <c r="FY223" s="121"/>
      <c r="FZ223" s="121"/>
      <c r="GA223" s="121"/>
      <c r="GB223" s="121"/>
      <c r="GC223" s="121"/>
      <c r="GD223" s="121"/>
      <c r="GE223" s="121"/>
      <c r="GF223" s="121"/>
      <c r="GG223" s="121"/>
      <c r="GH223" s="121"/>
      <c r="GI223" s="121"/>
      <c r="GJ223" s="121"/>
      <c r="GK223" s="121"/>
      <c r="GL223" s="121"/>
      <c r="GM223" s="121"/>
      <c r="GN223" s="121"/>
      <c r="GO223" s="121"/>
      <c r="GP223" s="121"/>
      <c r="GQ223" s="121"/>
      <c r="GR223" s="121"/>
      <c r="GS223" s="121"/>
      <c r="GT223" s="121"/>
      <c r="GU223" s="121"/>
      <c r="GV223" s="121"/>
      <c r="GW223" s="121"/>
      <c r="GX223" s="121"/>
      <c r="GY223" s="121"/>
      <c r="GZ223" s="121"/>
      <c r="HA223" s="121"/>
      <c r="HB223" s="121"/>
      <c r="HC223" s="121"/>
      <c r="HD223" s="121"/>
      <c r="HE223" s="121"/>
      <c r="HF223" s="121"/>
      <c r="HG223" s="121"/>
      <c r="HH223" s="121"/>
      <c r="HI223" s="121"/>
      <c r="HJ223" s="121"/>
      <c r="HK223" s="121"/>
      <c r="HL223" s="121"/>
      <c r="HM223" s="121"/>
      <c r="HN223" s="121"/>
      <c r="HO223" s="121"/>
      <c r="HP223" s="121"/>
      <c r="HQ223" s="121"/>
      <c r="HR223" s="121"/>
      <c r="HS223" s="121"/>
      <c r="HT223" s="121"/>
      <c r="HU223" s="121"/>
      <c r="HV223" s="121"/>
      <c r="HW223" s="121"/>
      <c r="HX223" s="121"/>
      <c r="HY223" s="121"/>
      <c r="HZ223" s="121"/>
      <c r="IA223" s="121"/>
      <c r="IB223" s="121"/>
      <c r="IC223" s="121"/>
      <c r="ID223" s="121"/>
      <c r="IE223" s="121"/>
      <c r="IF223" s="121"/>
      <c r="IG223" s="121"/>
      <c r="IH223" s="121"/>
      <c r="II223" s="121"/>
      <c r="IJ223" s="121"/>
      <c r="IK223" s="121"/>
      <c r="IL223" s="121"/>
      <c r="IM223" s="121"/>
      <c r="IN223" s="121"/>
      <c r="IO223" s="121"/>
      <c r="IP223" s="121"/>
      <c r="IQ223" s="121"/>
      <c r="IR223" s="121"/>
      <c r="IS223" s="121"/>
      <c r="IT223" s="121"/>
      <c r="IU223" s="121"/>
      <c r="IV223" s="121"/>
      <c r="IW223" s="121"/>
      <c r="IX223" s="121"/>
      <c r="IY223" s="121"/>
      <c r="IZ223" s="121"/>
      <c r="JA223" s="121"/>
      <c r="JB223" s="121"/>
      <c r="JC223" s="121"/>
      <c r="JD223" s="121"/>
      <c r="JE223" s="121"/>
      <c r="JF223" s="121"/>
      <c r="JG223" s="121"/>
      <c r="JH223" s="121"/>
      <c r="JI223" s="121"/>
      <c r="JJ223" s="121"/>
      <c r="JK223" s="121"/>
      <c r="JL223" s="121"/>
      <c r="JM223" s="121"/>
      <c r="JN223" s="121"/>
      <c r="JO223" s="121"/>
      <c r="JP223" s="121"/>
      <c r="JQ223" s="121"/>
      <c r="JR223" s="121"/>
      <c r="JS223" s="121"/>
      <c r="JT223" s="121"/>
      <c r="JU223" s="121"/>
      <c r="JV223" s="121"/>
      <c r="JW223" s="121"/>
      <c r="JX223" s="121"/>
      <c r="JY223" s="121"/>
      <c r="JZ223" s="121"/>
      <c r="KA223" s="121"/>
      <c r="KB223" s="121"/>
      <c r="KC223" s="121"/>
      <c r="KD223" s="121"/>
      <c r="KE223" s="121"/>
      <c r="KF223" s="121"/>
      <c r="KG223" s="121"/>
      <c r="KH223" s="121"/>
      <c r="KI223" s="121"/>
      <c r="KJ223" s="121"/>
      <c r="KK223" s="121"/>
      <c r="KL223" s="121"/>
      <c r="KM223" s="121"/>
      <c r="KN223" s="121"/>
      <c r="KO223" s="121"/>
      <c r="KP223" s="121"/>
      <c r="KQ223" s="121"/>
      <c r="KR223" s="121"/>
      <c r="KS223" s="121"/>
      <c r="KT223" s="121"/>
      <c r="KU223" s="121"/>
      <c r="KV223" s="121"/>
      <c r="KW223" s="121"/>
      <c r="KX223" s="121"/>
      <c r="KY223" s="121"/>
      <c r="KZ223" s="121"/>
      <c r="LA223" s="121"/>
      <c r="LB223" s="121"/>
      <c r="LC223" s="121"/>
      <c r="LD223" s="121"/>
      <c r="LE223" s="121"/>
      <c r="LF223" s="121"/>
      <c r="LG223" s="121"/>
      <c r="LH223" s="121"/>
      <c r="LI223" s="121"/>
      <c r="LJ223" s="121"/>
      <c r="LK223" s="121"/>
      <c r="LL223" s="121"/>
      <c r="LM223" s="121"/>
      <c r="LN223" s="121"/>
      <c r="LO223" s="121"/>
      <c r="LP223" s="121"/>
      <c r="LQ223" s="121"/>
      <c r="LR223" s="121"/>
      <c r="LS223" s="121"/>
      <c r="LT223" s="121"/>
      <c r="LU223" s="121"/>
      <c r="LV223" s="121"/>
      <c r="LW223" s="121"/>
      <c r="LX223" s="121"/>
      <c r="LY223" s="121"/>
      <c r="LZ223" s="121"/>
      <c r="MA223" s="121"/>
      <c r="MB223" s="121"/>
      <c r="MC223" s="121"/>
      <c r="MD223" s="121"/>
      <c r="ME223" s="121"/>
      <c r="MF223" s="121"/>
      <c r="MG223" s="121"/>
      <c r="MH223" s="121"/>
      <c r="MI223" s="121"/>
      <c r="MJ223" s="121"/>
      <c r="MK223" s="121"/>
      <c r="ML223" s="121"/>
      <c r="MM223" s="121"/>
      <c r="MN223" s="121"/>
      <c r="MO223" s="121"/>
      <c r="MP223" s="121"/>
      <c r="MQ223" s="121"/>
      <c r="MR223" s="121"/>
      <c r="MS223" s="121"/>
      <c r="MT223" s="121"/>
      <c r="MU223" s="121"/>
      <c r="MV223" s="121"/>
      <c r="MW223" s="121"/>
      <c r="MX223" s="121"/>
      <c r="MY223" s="121"/>
      <c r="MZ223" s="121"/>
      <c r="NA223" s="121"/>
      <c r="NB223" s="121"/>
      <c r="NC223" s="121"/>
      <c r="ND223" s="121"/>
      <c r="NE223" s="121"/>
      <c r="NF223" s="121"/>
      <c r="NG223" s="121"/>
      <c r="NH223" s="121"/>
      <c r="NI223" s="121"/>
      <c r="NJ223" s="121"/>
      <c r="NK223" s="121"/>
      <c r="NL223" s="121"/>
      <c r="NM223" s="121"/>
      <c r="NN223" s="121"/>
      <c r="NO223" s="121"/>
      <c r="NP223" s="121"/>
      <c r="NQ223" s="121"/>
      <c r="NR223" s="121"/>
      <c r="NS223" s="121"/>
      <c r="NT223" s="121"/>
      <c r="NU223" s="121"/>
      <c r="NV223" s="121"/>
      <c r="NW223" s="121"/>
      <c r="NX223" s="121"/>
      <c r="NY223" s="121"/>
      <c r="NZ223" s="121"/>
      <c r="OA223" s="121"/>
      <c r="OB223" s="121"/>
      <c r="OC223" s="121"/>
      <c r="OD223" s="121"/>
      <c r="OE223" s="121"/>
      <c r="OF223" s="121"/>
      <c r="OG223" s="121"/>
      <c r="OH223" s="121"/>
      <c r="OI223" s="121"/>
      <c r="OJ223" s="121"/>
      <c r="OK223" s="121"/>
      <c r="OL223" s="121"/>
      <c r="OM223" s="121"/>
      <c r="ON223" s="121"/>
      <c r="OO223" s="121"/>
      <c r="OP223" s="121"/>
      <c r="OQ223" s="121"/>
      <c r="OR223" s="121"/>
      <c r="OS223" s="121"/>
      <c r="OT223" s="121"/>
      <c r="OU223" s="121"/>
      <c r="OV223" s="121"/>
      <c r="OW223" s="121"/>
      <c r="OX223" s="121"/>
      <c r="OY223" s="121"/>
      <c r="OZ223" s="121"/>
      <c r="PA223" s="121"/>
      <c r="PB223" s="121"/>
      <c r="PC223" s="121"/>
      <c r="PD223" s="121"/>
      <c r="PE223" s="121"/>
      <c r="PF223" s="121"/>
      <c r="PG223" s="121"/>
      <c r="PH223" s="121"/>
      <c r="PI223" s="121"/>
      <c r="PJ223" s="121"/>
      <c r="PK223" s="121"/>
      <c r="PL223" s="121"/>
      <c r="PM223" s="121"/>
      <c r="PN223" s="121"/>
      <c r="PO223" s="121"/>
      <c r="PP223" s="121"/>
      <c r="PQ223" s="121"/>
      <c r="PR223" s="121"/>
      <c r="PS223" s="121"/>
      <c r="PT223" s="121"/>
      <c r="PU223" s="121"/>
      <c r="PV223" s="121"/>
      <c r="PW223" s="121"/>
      <c r="PX223" s="121"/>
      <c r="PY223" s="121"/>
      <c r="PZ223" s="121"/>
      <c r="QA223" s="121"/>
      <c r="QB223" s="121"/>
      <c r="QC223" s="121"/>
      <c r="QD223" s="121"/>
      <c r="QE223" s="121"/>
      <c r="QF223" s="121"/>
      <c r="QG223" s="121"/>
      <c r="QH223" s="121"/>
      <c r="QI223" s="121"/>
      <c r="QJ223" s="121"/>
      <c r="QK223" s="121"/>
      <c r="QL223" s="121"/>
      <c r="QM223" s="121"/>
      <c r="QN223" s="121"/>
      <c r="QO223" s="121"/>
      <c r="QP223" s="121"/>
      <c r="QQ223" s="121"/>
      <c r="QR223" s="121"/>
      <c r="QS223" s="121"/>
      <c r="QT223" s="121"/>
      <c r="QU223" s="121"/>
      <c r="QV223" s="121"/>
      <c r="QW223" s="121"/>
      <c r="QX223" s="121"/>
      <c r="QY223" s="121"/>
      <c r="QZ223" s="121"/>
      <c r="RA223" s="121"/>
      <c r="RB223" s="121"/>
      <c r="RC223" s="121"/>
      <c r="RD223" s="121"/>
      <c r="RE223" s="121"/>
      <c r="RF223" s="121"/>
      <c r="RG223" s="121"/>
      <c r="RH223" s="121"/>
      <c r="RI223" s="121"/>
      <c r="RJ223" s="121"/>
      <c r="RK223" s="121"/>
      <c r="RL223" s="121"/>
      <c r="RM223" s="121"/>
      <c r="RN223" s="121"/>
      <c r="RO223" s="121"/>
      <c r="RP223" s="121"/>
      <c r="RQ223" s="121"/>
      <c r="RR223" s="121"/>
      <c r="RS223" s="121"/>
      <c r="RT223" s="121"/>
      <c r="RU223" s="121"/>
      <c r="RV223" s="121"/>
      <c r="RW223" s="121"/>
      <c r="RX223" s="121"/>
      <c r="RY223" s="121"/>
      <c r="RZ223" s="121"/>
      <c r="SA223" s="121"/>
      <c r="SB223" s="121"/>
      <c r="SC223" s="121"/>
      <c r="SD223" s="121"/>
      <c r="SE223" s="121"/>
      <c r="SF223" s="121"/>
      <c r="SG223" s="121"/>
      <c r="SH223" s="121"/>
      <c r="SI223" s="121"/>
      <c r="SJ223" s="121"/>
      <c r="SK223" s="121"/>
      <c r="SL223" s="121"/>
      <c r="SM223" s="121"/>
      <c r="SN223" s="121"/>
      <c r="SO223" s="121"/>
      <c r="SP223" s="121"/>
      <c r="SQ223" s="121"/>
      <c r="SR223" s="121"/>
      <c r="SS223" s="121"/>
      <c r="ST223" s="121"/>
      <c r="SU223" s="121"/>
      <c r="SV223" s="121"/>
      <c r="SW223" s="121"/>
      <c r="SX223" s="121"/>
      <c r="SY223" s="121"/>
      <c r="SZ223" s="121"/>
      <c r="TA223" s="121"/>
      <c r="TB223" s="121"/>
      <c r="TC223" s="121"/>
      <c r="TD223" s="121"/>
      <c r="TE223" s="121"/>
      <c r="TF223" s="121"/>
      <c r="TG223" s="121"/>
      <c r="TH223" s="121"/>
      <c r="TI223" s="121"/>
      <c r="TJ223" s="121"/>
      <c r="TK223" s="121"/>
      <c r="TL223" s="121"/>
      <c r="TM223" s="121"/>
      <c r="TN223" s="121"/>
      <c r="TO223" s="121"/>
      <c r="TP223" s="121"/>
      <c r="TQ223" s="121"/>
      <c r="TR223" s="121"/>
      <c r="TS223" s="121"/>
      <c r="TT223" s="121"/>
      <c r="TU223" s="121"/>
      <c r="TV223" s="121"/>
      <c r="TW223" s="121"/>
      <c r="TX223" s="121"/>
      <c r="TY223" s="121"/>
      <c r="TZ223" s="121"/>
      <c r="UA223" s="121"/>
      <c r="UB223" s="121"/>
      <c r="UC223" s="121"/>
      <c r="UD223" s="121"/>
      <c r="UE223" s="121"/>
      <c r="UF223" s="121"/>
      <c r="UG223" s="121"/>
      <c r="UH223" s="121"/>
      <c r="UI223" s="121"/>
      <c r="UJ223" s="121"/>
      <c r="UK223" s="121"/>
      <c r="UL223" s="121"/>
      <c r="UM223" s="121"/>
      <c r="UN223" s="121"/>
      <c r="UO223" s="121"/>
      <c r="UP223" s="121"/>
      <c r="UQ223" s="121"/>
      <c r="UR223" s="121"/>
      <c r="US223" s="121"/>
      <c r="UT223" s="121"/>
      <c r="UU223" s="121"/>
      <c r="UV223" s="121"/>
      <c r="UW223" s="121"/>
      <c r="UX223" s="121"/>
      <c r="UY223" s="121"/>
      <c r="UZ223" s="121"/>
      <c r="VA223" s="121"/>
      <c r="VB223" s="121"/>
      <c r="VC223" s="121"/>
      <c r="VD223" s="121"/>
      <c r="VE223" s="121"/>
      <c r="VF223" s="121"/>
      <c r="VG223" s="121"/>
      <c r="VH223" s="121"/>
      <c r="VI223" s="121"/>
      <c r="VJ223" s="121"/>
      <c r="VK223" s="121"/>
      <c r="VL223" s="121"/>
      <c r="VM223" s="121"/>
      <c r="VN223" s="121"/>
      <c r="VO223" s="121"/>
      <c r="VP223" s="121"/>
      <c r="VQ223" s="121"/>
      <c r="VR223" s="121"/>
      <c r="VS223" s="121"/>
      <c r="VT223" s="121"/>
      <c r="VU223" s="121"/>
      <c r="VV223" s="121"/>
      <c r="VW223" s="121"/>
      <c r="VX223" s="121"/>
      <c r="VY223" s="121"/>
      <c r="VZ223" s="121"/>
      <c r="WA223" s="121"/>
      <c r="WB223" s="121"/>
      <c r="WC223" s="121"/>
      <c r="WD223" s="121"/>
      <c r="WE223" s="121"/>
      <c r="WF223" s="121"/>
      <c r="WG223" s="121"/>
      <c r="WH223" s="121"/>
      <c r="WI223" s="121"/>
      <c r="WJ223" s="121"/>
      <c r="WK223" s="121"/>
      <c r="WL223" s="121"/>
      <c r="WM223" s="121"/>
      <c r="WN223" s="121"/>
      <c r="WO223" s="121"/>
      <c r="WP223" s="121"/>
      <c r="WQ223" s="121"/>
      <c r="WR223" s="121"/>
      <c r="WS223" s="121"/>
      <c r="WT223" s="121"/>
      <c r="WU223" s="121"/>
      <c r="WV223" s="121"/>
      <c r="WW223" s="121"/>
      <c r="WX223" s="121"/>
      <c r="WY223" s="121"/>
      <c r="WZ223" s="121"/>
      <c r="XA223" s="121"/>
      <c r="XB223" s="121"/>
      <c r="XC223" s="121"/>
      <c r="XD223" s="121"/>
      <c r="XE223" s="121"/>
      <c r="XF223" s="121"/>
      <c r="XG223" s="121"/>
      <c r="XH223" s="121"/>
      <c r="XI223" s="121"/>
      <c r="XJ223" s="121"/>
      <c r="XK223" s="121"/>
      <c r="XL223" s="121"/>
      <c r="XM223" s="121"/>
      <c r="XN223" s="121"/>
      <c r="XO223" s="121"/>
      <c r="XP223" s="121"/>
      <c r="XQ223" s="121"/>
      <c r="XR223" s="121"/>
      <c r="XS223" s="121"/>
      <c r="XT223" s="121"/>
      <c r="XU223" s="121"/>
      <c r="XV223" s="121"/>
      <c r="XW223" s="121"/>
      <c r="XX223" s="121"/>
      <c r="XY223" s="121"/>
      <c r="XZ223" s="121"/>
      <c r="YA223" s="121"/>
      <c r="YB223" s="121"/>
      <c r="YC223" s="121"/>
      <c r="YD223" s="121"/>
      <c r="YE223" s="121"/>
      <c r="YF223" s="121"/>
      <c r="YG223" s="121"/>
      <c r="YH223" s="121"/>
      <c r="YI223" s="121"/>
      <c r="YJ223" s="121"/>
      <c r="YK223" s="121"/>
      <c r="YL223" s="121"/>
      <c r="YM223" s="121"/>
      <c r="YN223" s="121"/>
      <c r="YO223" s="121"/>
      <c r="YP223" s="121"/>
      <c r="YQ223" s="121"/>
      <c r="YR223" s="121"/>
      <c r="YS223" s="121"/>
      <c r="YT223" s="121"/>
      <c r="YU223" s="121"/>
      <c r="YV223" s="121"/>
      <c r="YW223" s="121"/>
      <c r="YX223" s="121"/>
      <c r="YY223" s="121"/>
      <c r="YZ223" s="121"/>
      <c r="ZA223" s="121"/>
      <c r="ZB223" s="121"/>
      <c r="ZC223" s="121"/>
      <c r="ZD223" s="121"/>
      <c r="ZE223" s="121"/>
      <c r="ZF223" s="121"/>
      <c r="ZG223" s="121"/>
      <c r="ZH223" s="121"/>
      <c r="ZI223" s="121"/>
      <c r="ZJ223" s="121"/>
      <c r="ZK223" s="121"/>
      <c r="ZL223" s="121"/>
      <c r="ZM223" s="121"/>
      <c r="ZN223" s="121"/>
      <c r="ZO223" s="121"/>
      <c r="ZP223" s="121"/>
      <c r="ZQ223" s="121"/>
      <c r="ZR223" s="121"/>
      <c r="ZS223" s="121"/>
      <c r="ZT223" s="121"/>
      <c r="ZU223" s="121"/>
      <c r="ZV223" s="121"/>
      <c r="ZW223" s="121"/>
      <c r="ZX223" s="121"/>
      <c r="ZY223" s="121"/>
      <c r="ZZ223" s="121"/>
      <c r="AAA223" s="121"/>
      <c r="AAB223" s="121"/>
      <c r="AAC223" s="121"/>
      <c r="AAD223" s="121"/>
      <c r="AAE223" s="121"/>
      <c r="AAF223" s="121"/>
      <c r="AAG223" s="121"/>
      <c r="AAH223" s="121"/>
      <c r="AAI223" s="121"/>
      <c r="AAJ223" s="121"/>
      <c r="AAK223" s="121"/>
      <c r="AAL223" s="121"/>
      <c r="AAM223" s="121"/>
      <c r="AAN223" s="121"/>
      <c r="AAO223" s="121"/>
      <c r="AAP223" s="121"/>
      <c r="AAQ223" s="121"/>
      <c r="AAR223" s="121"/>
      <c r="AAS223" s="121"/>
      <c r="AAT223" s="121"/>
      <c r="AAU223" s="121"/>
      <c r="AAV223" s="121"/>
      <c r="AAW223" s="121"/>
      <c r="AAX223" s="121"/>
      <c r="AAY223" s="121"/>
      <c r="AAZ223" s="121"/>
      <c r="ABA223" s="121"/>
      <c r="ABB223" s="121"/>
      <c r="ABC223" s="121"/>
      <c r="ABD223" s="121"/>
      <c r="ABE223" s="121"/>
      <c r="ABF223" s="121"/>
      <c r="ABG223" s="121"/>
      <c r="ABH223" s="121"/>
      <c r="ABI223" s="121"/>
      <c r="ABJ223" s="121"/>
      <c r="ABK223" s="121"/>
      <c r="ABL223" s="121"/>
      <c r="ABM223" s="121"/>
      <c r="ABN223" s="121"/>
      <c r="ABO223" s="121"/>
      <c r="ABP223" s="121"/>
      <c r="ABQ223" s="121"/>
      <c r="ABR223" s="121"/>
      <c r="ABS223" s="121"/>
      <c r="ABT223" s="121"/>
      <c r="ABU223" s="121"/>
      <c r="ABV223" s="121"/>
      <c r="ABW223" s="121"/>
      <c r="ABX223" s="121"/>
      <c r="ABY223" s="121"/>
      <c r="ABZ223" s="121"/>
      <c r="ACA223" s="121"/>
      <c r="ACB223" s="121"/>
      <c r="ACC223" s="121"/>
      <c r="ACD223" s="121"/>
      <c r="ACE223" s="121"/>
      <c r="ACF223" s="121"/>
      <c r="ACG223" s="121"/>
      <c r="ACH223" s="121"/>
      <c r="ACI223" s="121"/>
      <c r="ACJ223" s="121"/>
      <c r="ACK223" s="121"/>
      <c r="ACL223" s="121"/>
      <c r="ACM223" s="121"/>
      <c r="ACN223" s="121"/>
      <c r="ACO223" s="121"/>
      <c r="ACP223" s="121"/>
      <c r="ACQ223" s="121"/>
      <c r="ACR223" s="121"/>
      <c r="ACS223" s="121"/>
      <c r="ACT223" s="121"/>
      <c r="ACU223" s="121"/>
      <c r="ACV223" s="121"/>
      <c r="ACW223" s="121"/>
      <c r="ACX223" s="121"/>
      <c r="ACY223" s="121"/>
      <c r="ACZ223" s="121"/>
      <c r="ADA223" s="121"/>
      <c r="ADB223" s="121"/>
      <c r="ADC223" s="121"/>
      <c r="ADD223" s="121"/>
      <c r="ADE223" s="121"/>
      <c r="ADF223" s="121"/>
      <c r="ADG223" s="121"/>
      <c r="ADH223" s="121"/>
      <c r="ADI223" s="121"/>
      <c r="ADJ223" s="121"/>
      <c r="ADK223" s="121"/>
      <c r="ADL223" s="121"/>
      <c r="ADM223" s="121"/>
      <c r="ADN223" s="121"/>
      <c r="ADO223" s="121"/>
      <c r="ADP223" s="121"/>
      <c r="ADQ223" s="121"/>
      <c r="ADR223" s="121"/>
      <c r="ADS223" s="121"/>
      <c r="ADT223" s="121"/>
      <c r="ADU223" s="121"/>
      <c r="ADV223" s="121"/>
      <c r="ADW223" s="121"/>
      <c r="ADX223" s="121"/>
      <c r="ADY223" s="121"/>
      <c r="ADZ223" s="121"/>
      <c r="AEA223" s="121"/>
      <c r="AEB223" s="121"/>
      <c r="AEC223" s="121"/>
      <c r="AED223" s="121"/>
      <c r="AEE223" s="121"/>
      <c r="AEF223" s="121"/>
      <c r="AEG223" s="121"/>
      <c r="AEH223" s="121"/>
      <c r="AEI223" s="121"/>
      <c r="AEJ223" s="121"/>
      <c r="AEK223" s="121"/>
      <c r="AEL223" s="121"/>
      <c r="AEM223" s="121"/>
      <c r="AEN223" s="121"/>
      <c r="AEO223" s="121"/>
      <c r="AEP223" s="121"/>
      <c r="AEQ223" s="121"/>
      <c r="AER223" s="121"/>
      <c r="AES223" s="121"/>
      <c r="AET223" s="121"/>
      <c r="AEU223" s="121"/>
      <c r="AEV223" s="121"/>
      <c r="AEW223" s="121"/>
      <c r="AEX223" s="121"/>
      <c r="AEY223" s="121"/>
      <c r="AEZ223" s="121"/>
      <c r="AFA223" s="121"/>
      <c r="AFB223" s="121"/>
      <c r="AFC223" s="121"/>
      <c r="AFD223" s="121"/>
      <c r="AFE223" s="121"/>
      <c r="AFF223" s="121"/>
      <c r="AFG223" s="121"/>
      <c r="AFH223" s="121"/>
      <c r="AFI223" s="121"/>
      <c r="AFJ223" s="121"/>
      <c r="AFK223" s="121"/>
      <c r="AFL223" s="121"/>
      <c r="AFM223" s="121"/>
      <c r="AFN223" s="121"/>
      <c r="AFO223" s="121"/>
      <c r="AFP223" s="121"/>
      <c r="AFQ223" s="121"/>
      <c r="AFR223" s="121"/>
      <c r="AFS223" s="121"/>
      <c r="AFT223" s="121"/>
      <c r="AFU223" s="121"/>
      <c r="AFV223" s="121"/>
      <c r="AFW223" s="121"/>
      <c r="AFX223" s="121"/>
      <c r="AFY223" s="121"/>
      <c r="AFZ223" s="121"/>
      <c r="AGA223" s="121"/>
      <c r="AGB223" s="121"/>
      <c r="AGC223" s="121"/>
      <c r="AGD223" s="121"/>
      <c r="AGE223" s="121"/>
    </row>
    <row r="224" spans="1:863" s="180" customFormat="1" ht="15.75" customHeight="1" x14ac:dyDescent="0.25">
      <c r="A224" s="390">
        <v>43375</v>
      </c>
      <c r="B224" s="368" t="s">
        <v>173</v>
      </c>
      <c r="C224" s="178" t="s">
        <v>31</v>
      </c>
      <c r="D224" s="178" t="s">
        <v>30</v>
      </c>
      <c r="E224" s="178" t="s">
        <v>81</v>
      </c>
      <c r="F224" s="178">
        <v>86</v>
      </c>
      <c r="G224" s="178">
        <v>144</v>
      </c>
      <c r="H224" s="504">
        <v>3410</v>
      </c>
      <c r="I224" s="178">
        <v>1364</v>
      </c>
      <c r="J224" s="179"/>
      <c r="K224" s="281" t="s">
        <v>396</v>
      </c>
      <c r="L224" s="282" t="s">
        <v>395</v>
      </c>
      <c r="M224" s="510"/>
      <c r="N224" s="226"/>
      <c r="O224" s="121"/>
      <c r="P224" s="121"/>
      <c r="Q224" s="121"/>
      <c r="R224" s="121"/>
      <c r="S224" s="121"/>
      <c r="T224" s="121"/>
      <c r="U224" s="121"/>
      <c r="V224" s="121"/>
      <c r="W224" s="121"/>
      <c r="X224" s="121"/>
      <c r="Y224" s="121"/>
      <c r="Z224" s="121"/>
      <c r="AA224" s="121"/>
      <c r="AB224" s="121"/>
      <c r="AC224" s="121"/>
      <c r="AD224" s="121"/>
      <c r="AE224" s="121"/>
      <c r="AF224" s="121"/>
      <c r="AG224" s="121"/>
      <c r="AH224" s="121"/>
      <c r="AI224" s="121"/>
      <c r="AJ224" s="121"/>
      <c r="AK224" s="121"/>
      <c r="AL224" s="121"/>
      <c r="AM224" s="121"/>
      <c r="AN224" s="121"/>
      <c r="AO224" s="121"/>
      <c r="AP224" s="121"/>
      <c r="AQ224" s="121"/>
      <c r="AR224" s="121"/>
      <c r="AS224" s="121"/>
      <c r="AT224" s="121"/>
      <c r="AU224" s="121"/>
      <c r="AV224" s="121"/>
      <c r="AW224" s="121"/>
      <c r="AX224" s="121"/>
      <c r="AY224" s="121"/>
      <c r="AZ224" s="121"/>
      <c r="BA224" s="121"/>
      <c r="BB224" s="121"/>
      <c r="BC224" s="121"/>
      <c r="BD224" s="121"/>
      <c r="BE224" s="121"/>
      <c r="BF224" s="121"/>
      <c r="BG224" s="121"/>
      <c r="BH224" s="121"/>
      <c r="BI224" s="121"/>
      <c r="BJ224" s="121"/>
      <c r="BK224" s="121"/>
      <c r="BL224" s="121"/>
      <c r="BM224" s="121"/>
      <c r="BN224" s="121"/>
      <c r="BO224" s="121"/>
      <c r="BP224" s="121"/>
      <c r="BQ224" s="121"/>
      <c r="BR224" s="121"/>
      <c r="BS224" s="121"/>
      <c r="BT224" s="121"/>
      <c r="BU224" s="121"/>
      <c r="BV224" s="121"/>
      <c r="BW224" s="121"/>
      <c r="BX224" s="121"/>
      <c r="BY224" s="121"/>
      <c r="BZ224" s="121"/>
      <c r="CA224" s="121"/>
      <c r="CB224" s="121"/>
      <c r="CC224" s="121"/>
      <c r="CD224" s="121"/>
      <c r="CE224" s="121"/>
      <c r="CF224" s="121"/>
      <c r="CG224" s="121"/>
      <c r="CH224" s="121"/>
      <c r="CI224" s="121"/>
      <c r="CJ224" s="121"/>
      <c r="CK224" s="121"/>
      <c r="CL224" s="121"/>
      <c r="CM224" s="121"/>
      <c r="CN224" s="121"/>
      <c r="CO224" s="121"/>
      <c r="CP224" s="121"/>
      <c r="CQ224" s="121"/>
      <c r="CR224" s="121"/>
      <c r="CS224" s="121"/>
      <c r="CT224" s="121"/>
      <c r="CU224" s="121"/>
      <c r="CV224" s="121"/>
      <c r="CW224" s="121"/>
      <c r="CX224" s="121"/>
      <c r="CY224" s="121"/>
      <c r="CZ224" s="121"/>
      <c r="DA224" s="121"/>
      <c r="DB224" s="121"/>
      <c r="DC224" s="121"/>
      <c r="DD224" s="121"/>
      <c r="DE224" s="121"/>
      <c r="DF224" s="121"/>
      <c r="DG224" s="121"/>
      <c r="DH224" s="121"/>
      <c r="DI224" s="121"/>
      <c r="DJ224" s="121"/>
      <c r="DK224" s="121"/>
      <c r="DL224" s="121"/>
      <c r="DM224" s="121"/>
      <c r="DN224" s="121"/>
      <c r="DO224" s="121"/>
      <c r="DP224" s="121"/>
      <c r="DQ224" s="121"/>
      <c r="DR224" s="121"/>
      <c r="DS224" s="121"/>
      <c r="DT224" s="121"/>
      <c r="DU224" s="121"/>
      <c r="DV224" s="121"/>
      <c r="DW224" s="121"/>
      <c r="DX224" s="121"/>
      <c r="DY224" s="121"/>
      <c r="DZ224" s="121"/>
      <c r="EA224" s="121"/>
      <c r="EB224" s="121"/>
      <c r="EC224" s="121"/>
      <c r="ED224" s="121"/>
      <c r="EE224" s="121"/>
      <c r="EF224" s="121"/>
      <c r="EG224" s="121"/>
      <c r="EH224" s="121"/>
      <c r="EI224" s="121"/>
      <c r="EJ224" s="121"/>
      <c r="EK224" s="121"/>
      <c r="EL224" s="121"/>
      <c r="EM224" s="121"/>
      <c r="EN224" s="121"/>
      <c r="EO224" s="121"/>
      <c r="EP224" s="121"/>
      <c r="EQ224" s="121"/>
      <c r="ER224" s="121"/>
      <c r="ES224" s="121"/>
      <c r="ET224" s="121"/>
      <c r="EU224" s="121"/>
      <c r="EV224" s="121"/>
      <c r="EW224" s="121"/>
      <c r="EX224" s="121"/>
      <c r="EY224" s="121"/>
      <c r="EZ224" s="121"/>
      <c r="FA224" s="121"/>
      <c r="FB224" s="121"/>
      <c r="FC224" s="121"/>
      <c r="FD224" s="121"/>
      <c r="FE224" s="121"/>
      <c r="FF224" s="121"/>
      <c r="FG224" s="121"/>
      <c r="FH224" s="121"/>
      <c r="FI224" s="121"/>
      <c r="FJ224" s="121"/>
      <c r="FK224" s="121"/>
      <c r="FL224" s="121"/>
      <c r="FM224" s="121"/>
      <c r="FN224" s="121"/>
      <c r="FO224" s="121"/>
      <c r="FP224" s="121"/>
      <c r="FQ224" s="121"/>
      <c r="FR224" s="121"/>
      <c r="FS224" s="121"/>
      <c r="FT224" s="121"/>
      <c r="FU224" s="121"/>
      <c r="FV224" s="121"/>
      <c r="FW224" s="121"/>
      <c r="FX224" s="121"/>
      <c r="FY224" s="121"/>
      <c r="FZ224" s="121"/>
      <c r="GA224" s="121"/>
      <c r="GB224" s="121"/>
      <c r="GC224" s="121"/>
      <c r="GD224" s="121"/>
      <c r="GE224" s="121"/>
      <c r="GF224" s="121"/>
      <c r="GG224" s="121"/>
      <c r="GH224" s="121"/>
      <c r="GI224" s="121"/>
      <c r="GJ224" s="121"/>
      <c r="GK224" s="121"/>
      <c r="GL224" s="121"/>
      <c r="GM224" s="121"/>
      <c r="GN224" s="121"/>
      <c r="GO224" s="121"/>
      <c r="GP224" s="121"/>
      <c r="GQ224" s="121"/>
      <c r="GR224" s="121"/>
      <c r="GS224" s="121"/>
      <c r="GT224" s="121"/>
      <c r="GU224" s="121"/>
      <c r="GV224" s="121"/>
      <c r="GW224" s="121"/>
      <c r="GX224" s="121"/>
      <c r="GY224" s="121"/>
      <c r="GZ224" s="121"/>
      <c r="HA224" s="121"/>
      <c r="HB224" s="121"/>
      <c r="HC224" s="121"/>
      <c r="HD224" s="121"/>
      <c r="HE224" s="121"/>
      <c r="HF224" s="121"/>
      <c r="HG224" s="121"/>
      <c r="HH224" s="121"/>
      <c r="HI224" s="121"/>
      <c r="HJ224" s="121"/>
      <c r="HK224" s="121"/>
      <c r="HL224" s="121"/>
      <c r="HM224" s="121"/>
      <c r="HN224" s="121"/>
      <c r="HO224" s="121"/>
      <c r="HP224" s="121"/>
      <c r="HQ224" s="121"/>
      <c r="HR224" s="121"/>
      <c r="HS224" s="121"/>
      <c r="HT224" s="121"/>
      <c r="HU224" s="121"/>
      <c r="HV224" s="121"/>
      <c r="HW224" s="121"/>
      <c r="HX224" s="121"/>
      <c r="HY224" s="121"/>
      <c r="HZ224" s="121"/>
      <c r="IA224" s="121"/>
      <c r="IB224" s="121"/>
      <c r="IC224" s="121"/>
      <c r="ID224" s="121"/>
      <c r="IE224" s="121"/>
      <c r="IF224" s="121"/>
      <c r="IG224" s="121"/>
      <c r="IH224" s="121"/>
      <c r="II224" s="121"/>
      <c r="IJ224" s="121"/>
      <c r="IK224" s="121"/>
      <c r="IL224" s="121"/>
      <c r="IM224" s="121"/>
      <c r="IN224" s="121"/>
      <c r="IO224" s="121"/>
      <c r="IP224" s="121"/>
      <c r="IQ224" s="121"/>
      <c r="IR224" s="121"/>
      <c r="IS224" s="121"/>
      <c r="IT224" s="121"/>
      <c r="IU224" s="121"/>
      <c r="IV224" s="121"/>
      <c r="IW224" s="121"/>
      <c r="IX224" s="121"/>
      <c r="IY224" s="121"/>
      <c r="IZ224" s="121"/>
      <c r="JA224" s="121"/>
      <c r="JB224" s="121"/>
      <c r="JC224" s="121"/>
      <c r="JD224" s="121"/>
      <c r="JE224" s="121"/>
      <c r="JF224" s="121"/>
      <c r="JG224" s="121"/>
      <c r="JH224" s="121"/>
      <c r="JI224" s="121"/>
      <c r="JJ224" s="121"/>
      <c r="JK224" s="121"/>
      <c r="JL224" s="121"/>
      <c r="JM224" s="121"/>
      <c r="JN224" s="121"/>
      <c r="JO224" s="121"/>
      <c r="JP224" s="121"/>
      <c r="JQ224" s="121"/>
      <c r="JR224" s="121"/>
      <c r="JS224" s="121"/>
      <c r="JT224" s="121"/>
      <c r="JU224" s="121"/>
      <c r="JV224" s="121"/>
      <c r="JW224" s="121"/>
      <c r="JX224" s="121"/>
      <c r="JY224" s="121"/>
      <c r="JZ224" s="121"/>
      <c r="KA224" s="121"/>
      <c r="KB224" s="121"/>
      <c r="KC224" s="121"/>
      <c r="KD224" s="121"/>
      <c r="KE224" s="121"/>
      <c r="KF224" s="121"/>
      <c r="KG224" s="121"/>
      <c r="KH224" s="121"/>
      <c r="KI224" s="121"/>
      <c r="KJ224" s="121"/>
      <c r="KK224" s="121"/>
      <c r="KL224" s="121"/>
      <c r="KM224" s="121"/>
      <c r="KN224" s="121"/>
      <c r="KO224" s="121"/>
      <c r="KP224" s="121"/>
      <c r="KQ224" s="121"/>
      <c r="KR224" s="121"/>
      <c r="KS224" s="121"/>
      <c r="KT224" s="121"/>
      <c r="KU224" s="121"/>
      <c r="KV224" s="121"/>
      <c r="KW224" s="121"/>
      <c r="KX224" s="121"/>
      <c r="KY224" s="121"/>
      <c r="KZ224" s="121"/>
      <c r="LA224" s="121"/>
      <c r="LB224" s="121"/>
      <c r="LC224" s="121"/>
      <c r="LD224" s="121"/>
      <c r="LE224" s="121"/>
      <c r="LF224" s="121"/>
      <c r="LG224" s="121"/>
      <c r="LH224" s="121"/>
      <c r="LI224" s="121"/>
      <c r="LJ224" s="121"/>
      <c r="LK224" s="121"/>
      <c r="LL224" s="121"/>
      <c r="LM224" s="121"/>
      <c r="LN224" s="121"/>
      <c r="LO224" s="121"/>
      <c r="LP224" s="121"/>
      <c r="LQ224" s="121"/>
      <c r="LR224" s="121"/>
      <c r="LS224" s="121"/>
      <c r="LT224" s="121"/>
      <c r="LU224" s="121"/>
      <c r="LV224" s="121"/>
      <c r="LW224" s="121"/>
      <c r="LX224" s="121"/>
      <c r="LY224" s="121"/>
      <c r="LZ224" s="121"/>
      <c r="MA224" s="121"/>
      <c r="MB224" s="121"/>
      <c r="MC224" s="121"/>
      <c r="MD224" s="121"/>
      <c r="ME224" s="121"/>
      <c r="MF224" s="121"/>
      <c r="MG224" s="121"/>
      <c r="MH224" s="121"/>
      <c r="MI224" s="121"/>
      <c r="MJ224" s="121"/>
      <c r="MK224" s="121"/>
      <c r="ML224" s="121"/>
      <c r="MM224" s="121"/>
      <c r="MN224" s="121"/>
      <c r="MO224" s="121"/>
      <c r="MP224" s="121"/>
      <c r="MQ224" s="121"/>
      <c r="MR224" s="121"/>
      <c r="MS224" s="121"/>
      <c r="MT224" s="121"/>
      <c r="MU224" s="121"/>
      <c r="MV224" s="121"/>
      <c r="MW224" s="121"/>
      <c r="MX224" s="121"/>
      <c r="MY224" s="121"/>
      <c r="MZ224" s="121"/>
      <c r="NA224" s="121"/>
      <c r="NB224" s="121"/>
      <c r="NC224" s="121"/>
      <c r="ND224" s="121"/>
      <c r="NE224" s="121"/>
      <c r="NF224" s="121"/>
      <c r="NG224" s="121"/>
      <c r="NH224" s="121"/>
      <c r="NI224" s="121"/>
      <c r="NJ224" s="121"/>
      <c r="NK224" s="121"/>
      <c r="NL224" s="121"/>
      <c r="NM224" s="121"/>
      <c r="NN224" s="121"/>
      <c r="NO224" s="121"/>
      <c r="NP224" s="121"/>
      <c r="NQ224" s="121"/>
      <c r="NR224" s="121"/>
      <c r="NS224" s="121"/>
      <c r="NT224" s="121"/>
      <c r="NU224" s="121"/>
      <c r="NV224" s="121"/>
      <c r="NW224" s="121"/>
      <c r="NX224" s="121"/>
      <c r="NY224" s="121"/>
      <c r="NZ224" s="121"/>
      <c r="OA224" s="121"/>
      <c r="OB224" s="121"/>
      <c r="OC224" s="121"/>
      <c r="OD224" s="121"/>
      <c r="OE224" s="121"/>
      <c r="OF224" s="121"/>
      <c r="OG224" s="121"/>
      <c r="OH224" s="121"/>
      <c r="OI224" s="121"/>
      <c r="OJ224" s="121"/>
      <c r="OK224" s="121"/>
      <c r="OL224" s="121"/>
      <c r="OM224" s="121"/>
      <c r="ON224" s="121"/>
      <c r="OO224" s="121"/>
      <c r="OP224" s="121"/>
      <c r="OQ224" s="121"/>
      <c r="OR224" s="121"/>
      <c r="OS224" s="121"/>
      <c r="OT224" s="121"/>
      <c r="OU224" s="121"/>
      <c r="OV224" s="121"/>
      <c r="OW224" s="121"/>
      <c r="OX224" s="121"/>
      <c r="OY224" s="121"/>
      <c r="OZ224" s="121"/>
      <c r="PA224" s="121"/>
      <c r="PB224" s="121"/>
      <c r="PC224" s="121"/>
      <c r="PD224" s="121"/>
      <c r="PE224" s="121"/>
      <c r="PF224" s="121"/>
      <c r="PG224" s="121"/>
      <c r="PH224" s="121"/>
      <c r="PI224" s="121"/>
      <c r="PJ224" s="121"/>
      <c r="PK224" s="121"/>
      <c r="PL224" s="121"/>
      <c r="PM224" s="121"/>
      <c r="PN224" s="121"/>
      <c r="PO224" s="121"/>
      <c r="PP224" s="121"/>
      <c r="PQ224" s="121"/>
      <c r="PR224" s="121"/>
      <c r="PS224" s="121"/>
      <c r="PT224" s="121"/>
      <c r="PU224" s="121"/>
      <c r="PV224" s="121"/>
      <c r="PW224" s="121"/>
      <c r="PX224" s="121"/>
      <c r="PY224" s="121"/>
      <c r="PZ224" s="121"/>
      <c r="QA224" s="121"/>
      <c r="QB224" s="121"/>
      <c r="QC224" s="121"/>
      <c r="QD224" s="121"/>
      <c r="QE224" s="121"/>
      <c r="QF224" s="121"/>
      <c r="QG224" s="121"/>
      <c r="QH224" s="121"/>
      <c r="QI224" s="121"/>
      <c r="QJ224" s="121"/>
      <c r="QK224" s="121"/>
      <c r="QL224" s="121"/>
      <c r="QM224" s="121"/>
      <c r="QN224" s="121"/>
      <c r="QO224" s="121"/>
      <c r="QP224" s="121"/>
      <c r="QQ224" s="121"/>
      <c r="QR224" s="121"/>
      <c r="QS224" s="121"/>
      <c r="QT224" s="121"/>
      <c r="QU224" s="121"/>
      <c r="QV224" s="121"/>
      <c r="QW224" s="121"/>
      <c r="QX224" s="121"/>
      <c r="QY224" s="121"/>
      <c r="QZ224" s="121"/>
      <c r="RA224" s="121"/>
      <c r="RB224" s="121"/>
      <c r="RC224" s="121"/>
      <c r="RD224" s="121"/>
      <c r="RE224" s="121"/>
      <c r="RF224" s="121"/>
      <c r="RG224" s="121"/>
      <c r="RH224" s="121"/>
      <c r="RI224" s="121"/>
      <c r="RJ224" s="121"/>
      <c r="RK224" s="121"/>
      <c r="RL224" s="121"/>
      <c r="RM224" s="121"/>
      <c r="RN224" s="121"/>
      <c r="RO224" s="121"/>
      <c r="RP224" s="121"/>
      <c r="RQ224" s="121"/>
      <c r="RR224" s="121"/>
      <c r="RS224" s="121"/>
      <c r="RT224" s="121"/>
      <c r="RU224" s="121"/>
      <c r="RV224" s="121"/>
      <c r="RW224" s="121"/>
      <c r="RX224" s="121"/>
      <c r="RY224" s="121"/>
      <c r="RZ224" s="121"/>
      <c r="SA224" s="121"/>
      <c r="SB224" s="121"/>
      <c r="SC224" s="121"/>
      <c r="SD224" s="121"/>
      <c r="SE224" s="121"/>
      <c r="SF224" s="121"/>
      <c r="SG224" s="121"/>
      <c r="SH224" s="121"/>
      <c r="SI224" s="121"/>
      <c r="SJ224" s="121"/>
      <c r="SK224" s="121"/>
      <c r="SL224" s="121"/>
      <c r="SM224" s="121"/>
      <c r="SN224" s="121"/>
      <c r="SO224" s="121"/>
      <c r="SP224" s="121"/>
      <c r="SQ224" s="121"/>
      <c r="SR224" s="121"/>
      <c r="SS224" s="121"/>
      <c r="ST224" s="121"/>
      <c r="SU224" s="121"/>
      <c r="SV224" s="121"/>
      <c r="SW224" s="121"/>
      <c r="SX224" s="121"/>
      <c r="SY224" s="121"/>
      <c r="SZ224" s="121"/>
      <c r="TA224" s="121"/>
      <c r="TB224" s="121"/>
      <c r="TC224" s="121"/>
      <c r="TD224" s="121"/>
      <c r="TE224" s="121"/>
      <c r="TF224" s="121"/>
      <c r="TG224" s="121"/>
      <c r="TH224" s="121"/>
      <c r="TI224" s="121"/>
      <c r="TJ224" s="121"/>
      <c r="TK224" s="121"/>
      <c r="TL224" s="121"/>
      <c r="TM224" s="121"/>
      <c r="TN224" s="121"/>
      <c r="TO224" s="121"/>
      <c r="TP224" s="121"/>
      <c r="TQ224" s="121"/>
      <c r="TR224" s="121"/>
      <c r="TS224" s="121"/>
      <c r="TT224" s="121"/>
      <c r="TU224" s="121"/>
      <c r="TV224" s="121"/>
      <c r="TW224" s="121"/>
      <c r="TX224" s="121"/>
      <c r="TY224" s="121"/>
      <c r="TZ224" s="121"/>
      <c r="UA224" s="121"/>
      <c r="UB224" s="121"/>
      <c r="UC224" s="121"/>
      <c r="UD224" s="121"/>
      <c r="UE224" s="121"/>
      <c r="UF224" s="121"/>
      <c r="UG224" s="121"/>
      <c r="UH224" s="121"/>
      <c r="UI224" s="121"/>
      <c r="UJ224" s="121"/>
      <c r="UK224" s="121"/>
      <c r="UL224" s="121"/>
      <c r="UM224" s="121"/>
      <c r="UN224" s="121"/>
      <c r="UO224" s="121"/>
      <c r="UP224" s="121"/>
      <c r="UQ224" s="121"/>
      <c r="UR224" s="121"/>
      <c r="US224" s="121"/>
      <c r="UT224" s="121"/>
      <c r="UU224" s="121"/>
      <c r="UV224" s="121"/>
      <c r="UW224" s="121"/>
      <c r="UX224" s="121"/>
      <c r="UY224" s="121"/>
      <c r="UZ224" s="121"/>
      <c r="VA224" s="121"/>
      <c r="VB224" s="121"/>
      <c r="VC224" s="121"/>
      <c r="VD224" s="121"/>
      <c r="VE224" s="121"/>
      <c r="VF224" s="121"/>
      <c r="VG224" s="121"/>
      <c r="VH224" s="121"/>
      <c r="VI224" s="121"/>
      <c r="VJ224" s="121"/>
      <c r="VK224" s="121"/>
      <c r="VL224" s="121"/>
      <c r="VM224" s="121"/>
      <c r="VN224" s="121"/>
      <c r="VO224" s="121"/>
      <c r="VP224" s="121"/>
      <c r="VQ224" s="121"/>
      <c r="VR224" s="121"/>
      <c r="VS224" s="121"/>
      <c r="VT224" s="121"/>
      <c r="VU224" s="121"/>
      <c r="VV224" s="121"/>
      <c r="VW224" s="121"/>
      <c r="VX224" s="121"/>
      <c r="VY224" s="121"/>
      <c r="VZ224" s="121"/>
      <c r="WA224" s="121"/>
      <c r="WB224" s="121"/>
      <c r="WC224" s="121"/>
      <c r="WD224" s="121"/>
      <c r="WE224" s="121"/>
      <c r="WF224" s="121"/>
      <c r="WG224" s="121"/>
      <c r="WH224" s="121"/>
      <c r="WI224" s="121"/>
      <c r="WJ224" s="121"/>
      <c r="WK224" s="121"/>
      <c r="WL224" s="121"/>
      <c r="WM224" s="121"/>
      <c r="WN224" s="121"/>
      <c r="WO224" s="121"/>
      <c r="WP224" s="121"/>
      <c r="WQ224" s="121"/>
      <c r="WR224" s="121"/>
      <c r="WS224" s="121"/>
      <c r="WT224" s="121"/>
      <c r="WU224" s="121"/>
      <c r="WV224" s="121"/>
      <c r="WW224" s="121"/>
      <c r="WX224" s="121"/>
      <c r="WY224" s="121"/>
      <c r="WZ224" s="121"/>
      <c r="XA224" s="121"/>
      <c r="XB224" s="121"/>
      <c r="XC224" s="121"/>
      <c r="XD224" s="121"/>
      <c r="XE224" s="121"/>
      <c r="XF224" s="121"/>
      <c r="XG224" s="121"/>
      <c r="XH224" s="121"/>
      <c r="XI224" s="121"/>
      <c r="XJ224" s="121"/>
      <c r="XK224" s="121"/>
      <c r="XL224" s="121"/>
      <c r="XM224" s="121"/>
      <c r="XN224" s="121"/>
      <c r="XO224" s="121"/>
      <c r="XP224" s="121"/>
      <c r="XQ224" s="121"/>
      <c r="XR224" s="121"/>
      <c r="XS224" s="121"/>
      <c r="XT224" s="121"/>
      <c r="XU224" s="121"/>
      <c r="XV224" s="121"/>
      <c r="XW224" s="121"/>
      <c r="XX224" s="121"/>
      <c r="XY224" s="121"/>
      <c r="XZ224" s="121"/>
      <c r="YA224" s="121"/>
      <c r="YB224" s="121"/>
      <c r="YC224" s="121"/>
      <c r="YD224" s="121"/>
      <c r="YE224" s="121"/>
      <c r="YF224" s="121"/>
      <c r="YG224" s="121"/>
      <c r="YH224" s="121"/>
      <c r="YI224" s="121"/>
      <c r="YJ224" s="121"/>
      <c r="YK224" s="121"/>
      <c r="YL224" s="121"/>
      <c r="YM224" s="121"/>
      <c r="YN224" s="121"/>
      <c r="YO224" s="121"/>
      <c r="YP224" s="121"/>
      <c r="YQ224" s="121"/>
      <c r="YR224" s="121"/>
      <c r="YS224" s="121"/>
      <c r="YT224" s="121"/>
      <c r="YU224" s="121"/>
      <c r="YV224" s="121"/>
      <c r="YW224" s="121"/>
      <c r="YX224" s="121"/>
      <c r="YY224" s="121"/>
      <c r="YZ224" s="121"/>
      <c r="ZA224" s="121"/>
      <c r="ZB224" s="121"/>
      <c r="ZC224" s="121"/>
      <c r="ZD224" s="121"/>
      <c r="ZE224" s="121"/>
      <c r="ZF224" s="121"/>
      <c r="ZG224" s="121"/>
      <c r="ZH224" s="121"/>
      <c r="ZI224" s="121"/>
      <c r="ZJ224" s="121"/>
      <c r="ZK224" s="121"/>
      <c r="ZL224" s="121"/>
      <c r="ZM224" s="121"/>
      <c r="ZN224" s="121"/>
      <c r="ZO224" s="121"/>
      <c r="ZP224" s="121"/>
      <c r="ZQ224" s="121"/>
      <c r="ZR224" s="121"/>
      <c r="ZS224" s="121"/>
      <c r="ZT224" s="121"/>
      <c r="ZU224" s="121"/>
      <c r="ZV224" s="121"/>
      <c r="ZW224" s="121"/>
      <c r="ZX224" s="121"/>
      <c r="ZY224" s="121"/>
      <c r="ZZ224" s="121"/>
      <c r="AAA224" s="121"/>
      <c r="AAB224" s="121"/>
      <c r="AAC224" s="121"/>
      <c r="AAD224" s="121"/>
      <c r="AAE224" s="121"/>
      <c r="AAF224" s="121"/>
      <c r="AAG224" s="121"/>
      <c r="AAH224" s="121"/>
      <c r="AAI224" s="121"/>
      <c r="AAJ224" s="121"/>
      <c r="AAK224" s="121"/>
      <c r="AAL224" s="121"/>
      <c r="AAM224" s="121"/>
      <c r="AAN224" s="121"/>
      <c r="AAO224" s="121"/>
      <c r="AAP224" s="121"/>
      <c r="AAQ224" s="121"/>
      <c r="AAR224" s="121"/>
      <c r="AAS224" s="121"/>
      <c r="AAT224" s="121"/>
      <c r="AAU224" s="121"/>
      <c r="AAV224" s="121"/>
      <c r="AAW224" s="121"/>
      <c r="AAX224" s="121"/>
      <c r="AAY224" s="121"/>
      <c r="AAZ224" s="121"/>
      <c r="ABA224" s="121"/>
      <c r="ABB224" s="121"/>
      <c r="ABC224" s="121"/>
      <c r="ABD224" s="121"/>
      <c r="ABE224" s="121"/>
      <c r="ABF224" s="121"/>
      <c r="ABG224" s="121"/>
      <c r="ABH224" s="121"/>
      <c r="ABI224" s="121"/>
      <c r="ABJ224" s="121"/>
      <c r="ABK224" s="121"/>
      <c r="ABL224" s="121"/>
      <c r="ABM224" s="121"/>
      <c r="ABN224" s="121"/>
      <c r="ABO224" s="121"/>
      <c r="ABP224" s="121"/>
      <c r="ABQ224" s="121"/>
      <c r="ABR224" s="121"/>
      <c r="ABS224" s="121"/>
      <c r="ABT224" s="121"/>
      <c r="ABU224" s="121"/>
      <c r="ABV224" s="121"/>
      <c r="ABW224" s="121"/>
      <c r="ABX224" s="121"/>
      <c r="ABY224" s="121"/>
      <c r="ABZ224" s="121"/>
      <c r="ACA224" s="121"/>
      <c r="ACB224" s="121"/>
      <c r="ACC224" s="121"/>
      <c r="ACD224" s="121"/>
      <c r="ACE224" s="121"/>
      <c r="ACF224" s="121"/>
      <c r="ACG224" s="121"/>
      <c r="ACH224" s="121"/>
      <c r="ACI224" s="121"/>
      <c r="ACJ224" s="121"/>
      <c r="ACK224" s="121"/>
      <c r="ACL224" s="121"/>
      <c r="ACM224" s="121"/>
      <c r="ACN224" s="121"/>
      <c r="ACO224" s="121"/>
      <c r="ACP224" s="121"/>
      <c r="ACQ224" s="121"/>
      <c r="ACR224" s="121"/>
      <c r="ACS224" s="121"/>
      <c r="ACT224" s="121"/>
      <c r="ACU224" s="121"/>
      <c r="ACV224" s="121"/>
      <c r="ACW224" s="121"/>
      <c r="ACX224" s="121"/>
      <c r="ACY224" s="121"/>
      <c r="ACZ224" s="121"/>
      <c r="ADA224" s="121"/>
      <c r="ADB224" s="121"/>
      <c r="ADC224" s="121"/>
      <c r="ADD224" s="121"/>
      <c r="ADE224" s="121"/>
      <c r="ADF224" s="121"/>
      <c r="ADG224" s="121"/>
      <c r="ADH224" s="121"/>
      <c r="ADI224" s="121"/>
      <c r="ADJ224" s="121"/>
      <c r="ADK224" s="121"/>
      <c r="ADL224" s="121"/>
      <c r="ADM224" s="121"/>
      <c r="ADN224" s="121"/>
      <c r="ADO224" s="121"/>
      <c r="ADP224" s="121"/>
      <c r="ADQ224" s="121"/>
      <c r="ADR224" s="121"/>
      <c r="ADS224" s="121"/>
      <c r="ADT224" s="121"/>
      <c r="ADU224" s="121"/>
      <c r="ADV224" s="121"/>
      <c r="ADW224" s="121"/>
      <c r="ADX224" s="121"/>
      <c r="ADY224" s="121"/>
      <c r="ADZ224" s="121"/>
      <c r="AEA224" s="121"/>
      <c r="AEB224" s="121"/>
      <c r="AEC224" s="121"/>
      <c r="AED224" s="121"/>
      <c r="AEE224" s="121"/>
      <c r="AEF224" s="121"/>
      <c r="AEG224" s="121"/>
      <c r="AEH224" s="121"/>
      <c r="AEI224" s="121"/>
      <c r="AEJ224" s="121"/>
      <c r="AEK224" s="121"/>
      <c r="AEL224" s="121"/>
      <c r="AEM224" s="121"/>
      <c r="AEN224" s="121"/>
      <c r="AEO224" s="121"/>
      <c r="AEP224" s="121"/>
      <c r="AEQ224" s="121"/>
      <c r="AER224" s="121"/>
      <c r="AES224" s="121"/>
      <c r="AET224" s="121"/>
      <c r="AEU224" s="121"/>
      <c r="AEV224" s="121"/>
      <c r="AEW224" s="121"/>
      <c r="AEX224" s="121"/>
      <c r="AEY224" s="121"/>
      <c r="AEZ224" s="121"/>
      <c r="AFA224" s="121"/>
      <c r="AFB224" s="121"/>
      <c r="AFC224" s="121"/>
      <c r="AFD224" s="121"/>
      <c r="AFE224" s="121"/>
      <c r="AFF224" s="121"/>
      <c r="AFG224" s="121"/>
      <c r="AFH224" s="121"/>
      <c r="AFI224" s="121"/>
      <c r="AFJ224" s="121"/>
      <c r="AFK224" s="121"/>
      <c r="AFL224" s="121"/>
      <c r="AFM224" s="121"/>
      <c r="AFN224" s="121"/>
      <c r="AFO224" s="121"/>
      <c r="AFP224" s="121"/>
      <c r="AFQ224" s="121"/>
      <c r="AFR224" s="121"/>
      <c r="AFS224" s="121"/>
      <c r="AFT224" s="121"/>
      <c r="AFU224" s="121"/>
      <c r="AFV224" s="121"/>
      <c r="AFW224" s="121"/>
      <c r="AFX224" s="121"/>
      <c r="AFY224" s="121"/>
      <c r="AFZ224" s="121"/>
      <c r="AGA224" s="121"/>
      <c r="AGB224" s="121"/>
      <c r="AGC224" s="121"/>
      <c r="AGD224" s="121"/>
      <c r="AGE224" s="121"/>
    </row>
    <row r="225" spans="1:863" s="180" customFormat="1" ht="15.75" customHeight="1" x14ac:dyDescent="0.25">
      <c r="A225" s="390">
        <v>43375</v>
      </c>
      <c r="B225" s="368" t="s">
        <v>173</v>
      </c>
      <c r="C225" s="178" t="s">
        <v>31</v>
      </c>
      <c r="D225" s="178" t="s">
        <v>30</v>
      </c>
      <c r="E225" s="178" t="s">
        <v>81</v>
      </c>
      <c r="F225" s="178">
        <v>87</v>
      </c>
      <c r="G225" s="178">
        <v>216</v>
      </c>
      <c r="H225" s="505"/>
      <c r="I225" s="178">
        <v>2046</v>
      </c>
      <c r="J225" s="179"/>
      <c r="K225" s="281" t="s">
        <v>396</v>
      </c>
      <c r="L225" s="282" t="s">
        <v>395</v>
      </c>
      <c r="M225" s="510"/>
      <c r="N225" s="226"/>
      <c r="O225" s="121"/>
      <c r="P225" s="121"/>
      <c r="Q225" s="121"/>
      <c r="R225" s="121"/>
      <c r="S225" s="121"/>
      <c r="T225" s="121"/>
      <c r="U225" s="121"/>
      <c r="V225" s="121"/>
      <c r="W225" s="121"/>
      <c r="X225" s="121"/>
      <c r="Y225" s="121"/>
      <c r="Z225" s="121"/>
      <c r="AA225" s="121"/>
      <c r="AB225" s="121"/>
      <c r="AC225" s="121"/>
      <c r="AD225" s="121"/>
      <c r="AE225" s="121"/>
      <c r="AF225" s="121"/>
      <c r="AG225" s="121"/>
      <c r="AH225" s="121"/>
      <c r="AI225" s="121"/>
      <c r="AJ225" s="121"/>
      <c r="AK225" s="121"/>
      <c r="AL225" s="121"/>
      <c r="AM225" s="121"/>
      <c r="AN225" s="121"/>
      <c r="AO225" s="121"/>
      <c r="AP225" s="121"/>
      <c r="AQ225" s="121"/>
      <c r="AR225" s="121"/>
      <c r="AS225" s="121"/>
      <c r="AT225" s="121"/>
      <c r="AU225" s="121"/>
      <c r="AV225" s="121"/>
      <c r="AW225" s="121"/>
      <c r="AX225" s="121"/>
      <c r="AY225" s="121"/>
      <c r="AZ225" s="121"/>
      <c r="BA225" s="121"/>
      <c r="BB225" s="121"/>
      <c r="BC225" s="121"/>
      <c r="BD225" s="121"/>
      <c r="BE225" s="121"/>
      <c r="BF225" s="121"/>
      <c r="BG225" s="121"/>
      <c r="BH225" s="121"/>
      <c r="BI225" s="121"/>
      <c r="BJ225" s="121"/>
      <c r="BK225" s="121"/>
      <c r="BL225" s="121"/>
      <c r="BM225" s="121"/>
      <c r="BN225" s="121"/>
      <c r="BO225" s="121"/>
      <c r="BP225" s="121"/>
      <c r="BQ225" s="121"/>
      <c r="BR225" s="121"/>
      <c r="BS225" s="121"/>
      <c r="BT225" s="121"/>
      <c r="BU225" s="121"/>
      <c r="BV225" s="121"/>
      <c r="BW225" s="121"/>
      <c r="BX225" s="121"/>
      <c r="BY225" s="121"/>
      <c r="BZ225" s="121"/>
      <c r="CA225" s="121"/>
      <c r="CB225" s="121"/>
      <c r="CC225" s="121"/>
      <c r="CD225" s="121"/>
      <c r="CE225" s="121"/>
      <c r="CF225" s="121"/>
      <c r="CG225" s="121"/>
      <c r="CH225" s="121"/>
      <c r="CI225" s="121"/>
      <c r="CJ225" s="121"/>
      <c r="CK225" s="121"/>
      <c r="CL225" s="121"/>
      <c r="CM225" s="121"/>
      <c r="CN225" s="121"/>
      <c r="CO225" s="121"/>
      <c r="CP225" s="121"/>
      <c r="CQ225" s="121"/>
      <c r="CR225" s="121"/>
      <c r="CS225" s="121"/>
      <c r="CT225" s="121"/>
      <c r="CU225" s="121"/>
      <c r="CV225" s="121"/>
      <c r="CW225" s="121"/>
      <c r="CX225" s="121"/>
      <c r="CY225" s="121"/>
      <c r="CZ225" s="121"/>
      <c r="DA225" s="121"/>
      <c r="DB225" s="121"/>
      <c r="DC225" s="121"/>
      <c r="DD225" s="121"/>
      <c r="DE225" s="121"/>
      <c r="DF225" s="121"/>
      <c r="DG225" s="121"/>
      <c r="DH225" s="121"/>
      <c r="DI225" s="121"/>
      <c r="DJ225" s="121"/>
      <c r="DK225" s="121"/>
      <c r="DL225" s="121"/>
      <c r="DM225" s="121"/>
      <c r="DN225" s="121"/>
      <c r="DO225" s="121"/>
      <c r="DP225" s="121"/>
      <c r="DQ225" s="121"/>
      <c r="DR225" s="121"/>
      <c r="DS225" s="121"/>
      <c r="DT225" s="121"/>
      <c r="DU225" s="121"/>
      <c r="DV225" s="121"/>
      <c r="DW225" s="121"/>
      <c r="DX225" s="121"/>
      <c r="DY225" s="121"/>
      <c r="DZ225" s="121"/>
      <c r="EA225" s="121"/>
      <c r="EB225" s="121"/>
      <c r="EC225" s="121"/>
      <c r="ED225" s="121"/>
      <c r="EE225" s="121"/>
      <c r="EF225" s="121"/>
      <c r="EG225" s="121"/>
      <c r="EH225" s="121"/>
      <c r="EI225" s="121"/>
      <c r="EJ225" s="121"/>
      <c r="EK225" s="121"/>
      <c r="EL225" s="121"/>
      <c r="EM225" s="121"/>
      <c r="EN225" s="121"/>
      <c r="EO225" s="121"/>
      <c r="EP225" s="121"/>
      <c r="EQ225" s="121"/>
      <c r="ER225" s="121"/>
      <c r="ES225" s="121"/>
      <c r="ET225" s="121"/>
      <c r="EU225" s="121"/>
      <c r="EV225" s="121"/>
      <c r="EW225" s="121"/>
      <c r="EX225" s="121"/>
      <c r="EY225" s="121"/>
      <c r="EZ225" s="121"/>
      <c r="FA225" s="121"/>
      <c r="FB225" s="121"/>
      <c r="FC225" s="121"/>
      <c r="FD225" s="121"/>
      <c r="FE225" s="121"/>
      <c r="FF225" s="121"/>
      <c r="FG225" s="121"/>
      <c r="FH225" s="121"/>
      <c r="FI225" s="121"/>
      <c r="FJ225" s="121"/>
      <c r="FK225" s="121"/>
      <c r="FL225" s="121"/>
      <c r="FM225" s="121"/>
      <c r="FN225" s="121"/>
      <c r="FO225" s="121"/>
      <c r="FP225" s="121"/>
      <c r="FQ225" s="121"/>
      <c r="FR225" s="121"/>
      <c r="FS225" s="121"/>
      <c r="FT225" s="121"/>
      <c r="FU225" s="121"/>
      <c r="FV225" s="121"/>
      <c r="FW225" s="121"/>
      <c r="FX225" s="121"/>
      <c r="FY225" s="121"/>
      <c r="FZ225" s="121"/>
      <c r="GA225" s="121"/>
      <c r="GB225" s="121"/>
      <c r="GC225" s="121"/>
      <c r="GD225" s="121"/>
      <c r="GE225" s="121"/>
      <c r="GF225" s="121"/>
      <c r="GG225" s="121"/>
      <c r="GH225" s="121"/>
      <c r="GI225" s="121"/>
      <c r="GJ225" s="121"/>
      <c r="GK225" s="121"/>
      <c r="GL225" s="121"/>
      <c r="GM225" s="121"/>
      <c r="GN225" s="121"/>
      <c r="GO225" s="121"/>
      <c r="GP225" s="121"/>
      <c r="GQ225" s="121"/>
      <c r="GR225" s="121"/>
      <c r="GS225" s="121"/>
      <c r="GT225" s="121"/>
      <c r="GU225" s="121"/>
      <c r="GV225" s="121"/>
      <c r="GW225" s="121"/>
      <c r="GX225" s="121"/>
      <c r="GY225" s="121"/>
      <c r="GZ225" s="121"/>
      <c r="HA225" s="121"/>
      <c r="HB225" s="121"/>
      <c r="HC225" s="121"/>
      <c r="HD225" s="121"/>
      <c r="HE225" s="121"/>
      <c r="HF225" s="121"/>
      <c r="HG225" s="121"/>
      <c r="HH225" s="121"/>
      <c r="HI225" s="121"/>
      <c r="HJ225" s="121"/>
      <c r="HK225" s="121"/>
      <c r="HL225" s="121"/>
      <c r="HM225" s="121"/>
      <c r="HN225" s="121"/>
      <c r="HO225" s="121"/>
      <c r="HP225" s="121"/>
      <c r="HQ225" s="121"/>
      <c r="HR225" s="121"/>
      <c r="HS225" s="121"/>
      <c r="HT225" s="121"/>
      <c r="HU225" s="121"/>
      <c r="HV225" s="121"/>
      <c r="HW225" s="121"/>
      <c r="HX225" s="121"/>
      <c r="HY225" s="121"/>
      <c r="HZ225" s="121"/>
      <c r="IA225" s="121"/>
      <c r="IB225" s="121"/>
      <c r="IC225" s="121"/>
      <c r="ID225" s="121"/>
      <c r="IE225" s="121"/>
      <c r="IF225" s="121"/>
      <c r="IG225" s="121"/>
      <c r="IH225" s="121"/>
      <c r="II225" s="121"/>
      <c r="IJ225" s="121"/>
      <c r="IK225" s="121"/>
      <c r="IL225" s="121"/>
      <c r="IM225" s="121"/>
      <c r="IN225" s="121"/>
      <c r="IO225" s="121"/>
      <c r="IP225" s="121"/>
      <c r="IQ225" s="121"/>
      <c r="IR225" s="121"/>
      <c r="IS225" s="121"/>
      <c r="IT225" s="121"/>
      <c r="IU225" s="121"/>
      <c r="IV225" s="121"/>
      <c r="IW225" s="121"/>
      <c r="IX225" s="121"/>
      <c r="IY225" s="121"/>
      <c r="IZ225" s="121"/>
      <c r="JA225" s="121"/>
      <c r="JB225" s="121"/>
      <c r="JC225" s="121"/>
      <c r="JD225" s="121"/>
      <c r="JE225" s="121"/>
      <c r="JF225" s="121"/>
      <c r="JG225" s="121"/>
      <c r="JH225" s="121"/>
      <c r="JI225" s="121"/>
      <c r="JJ225" s="121"/>
      <c r="JK225" s="121"/>
      <c r="JL225" s="121"/>
      <c r="JM225" s="121"/>
      <c r="JN225" s="121"/>
      <c r="JO225" s="121"/>
      <c r="JP225" s="121"/>
      <c r="JQ225" s="121"/>
      <c r="JR225" s="121"/>
      <c r="JS225" s="121"/>
      <c r="JT225" s="121"/>
      <c r="JU225" s="121"/>
      <c r="JV225" s="121"/>
      <c r="JW225" s="121"/>
      <c r="JX225" s="121"/>
      <c r="JY225" s="121"/>
      <c r="JZ225" s="121"/>
      <c r="KA225" s="121"/>
      <c r="KB225" s="121"/>
      <c r="KC225" s="121"/>
      <c r="KD225" s="121"/>
      <c r="KE225" s="121"/>
      <c r="KF225" s="121"/>
      <c r="KG225" s="121"/>
      <c r="KH225" s="121"/>
      <c r="KI225" s="121"/>
      <c r="KJ225" s="121"/>
      <c r="KK225" s="121"/>
      <c r="KL225" s="121"/>
      <c r="KM225" s="121"/>
      <c r="KN225" s="121"/>
      <c r="KO225" s="121"/>
      <c r="KP225" s="121"/>
      <c r="KQ225" s="121"/>
      <c r="KR225" s="121"/>
      <c r="KS225" s="121"/>
      <c r="KT225" s="121"/>
      <c r="KU225" s="121"/>
      <c r="KV225" s="121"/>
      <c r="KW225" s="121"/>
      <c r="KX225" s="121"/>
      <c r="KY225" s="121"/>
      <c r="KZ225" s="121"/>
      <c r="LA225" s="121"/>
      <c r="LB225" s="121"/>
      <c r="LC225" s="121"/>
      <c r="LD225" s="121"/>
      <c r="LE225" s="121"/>
      <c r="LF225" s="121"/>
      <c r="LG225" s="121"/>
      <c r="LH225" s="121"/>
      <c r="LI225" s="121"/>
      <c r="LJ225" s="121"/>
      <c r="LK225" s="121"/>
      <c r="LL225" s="121"/>
      <c r="LM225" s="121"/>
      <c r="LN225" s="121"/>
      <c r="LO225" s="121"/>
      <c r="LP225" s="121"/>
      <c r="LQ225" s="121"/>
      <c r="LR225" s="121"/>
      <c r="LS225" s="121"/>
      <c r="LT225" s="121"/>
      <c r="LU225" s="121"/>
      <c r="LV225" s="121"/>
      <c r="LW225" s="121"/>
      <c r="LX225" s="121"/>
      <c r="LY225" s="121"/>
      <c r="LZ225" s="121"/>
      <c r="MA225" s="121"/>
      <c r="MB225" s="121"/>
      <c r="MC225" s="121"/>
      <c r="MD225" s="121"/>
      <c r="ME225" s="121"/>
      <c r="MF225" s="121"/>
      <c r="MG225" s="121"/>
      <c r="MH225" s="121"/>
      <c r="MI225" s="121"/>
      <c r="MJ225" s="121"/>
      <c r="MK225" s="121"/>
      <c r="ML225" s="121"/>
      <c r="MM225" s="121"/>
      <c r="MN225" s="121"/>
      <c r="MO225" s="121"/>
      <c r="MP225" s="121"/>
      <c r="MQ225" s="121"/>
      <c r="MR225" s="121"/>
      <c r="MS225" s="121"/>
      <c r="MT225" s="121"/>
      <c r="MU225" s="121"/>
      <c r="MV225" s="121"/>
      <c r="MW225" s="121"/>
      <c r="MX225" s="121"/>
      <c r="MY225" s="121"/>
      <c r="MZ225" s="121"/>
      <c r="NA225" s="121"/>
      <c r="NB225" s="121"/>
      <c r="NC225" s="121"/>
      <c r="ND225" s="121"/>
      <c r="NE225" s="121"/>
      <c r="NF225" s="121"/>
      <c r="NG225" s="121"/>
      <c r="NH225" s="121"/>
      <c r="NI225" s="121"/>
      <c r="NJ225" s="121"/>
      <c r="NK225" s="121"/>
      <c r="NL225" s="121"/>
      <c r="NM225" s="121"/>
      <c r="NN225" s="121"/>
      <c r="NO225" s="121"/>
      <c r="NP225" s="121"/>
      <c r="NQ225" s="121"/>
      <c r="NR225" s="121"/>
      <c r="NS225" s="121"/>
      <c r="NT225" s="121"/>
      <c r="NU225" s="121"/>
      <c r="NV225" s="121"/>
      <c r="NW225" s="121"/>
      <c r="NX225" s="121"/>
      <c r="NY225" s="121"/>
      <c r="NZ225" s="121"/>
      <c r="OA225" s="121"/>
      <c r="OB225" s="121"/>
      <c r="OC225" s="121"/>
      <c r="OD225" s="121"/>
      <c r="OE225" s="121"/>
      <c r="OF225" s="121"/>
      <c r="OG225" s="121"/>
      <c r="OH225" s="121"/>
      <c r="OI225" s="121"/>
      <c r="OJ225" s="121"/>
      <c r="OK225" s="121"/>
      <c r="OL225" s="121"/>
      <c r="OM225" s="121"/>
      <c r="ON225" s="121"/>
      <c r="OO225" s="121"/>
      <c r="OP225" s="121"/>
      <c r="OQ225" s="121"/>
      <c r="OR225" s="121"/>
      <c r="OS225" s="121"/>
      <c r="OT225" s="121"/>
      <c r="OU225" s="121"/>
      <c r="OV225" s="121"/>
      <c r="OW225" s="121"/>
      <c r="OX225" s="121"/>
      <c r="OY225" s="121"/>
      <c r="OZ225" s="121"/>
      <c r="PA225" s="121"/>
      <c r="PB225" s="121"/>
      <c r="PC225" s="121"/>
      <c r="PD225" s="121"/>
      <c r="PE225" s="121"/>
      <c r="PF225" s="121"/>
      <c r="PG225" s="121"/>
      <c r="PH225" s="121"/>
      <c r="PI225" s="121"/>
      <c r="PJ225" s="121"/>
      <c r="PK225" s="121"/>
      <c r="PL225" s="121"/>
      <c r="PM225" s="121"/>
      <c r="PN225" s="121"/>
      <c r="PO225" s="121"/>
      <c r="PP225" s="121"/>
      <c r="PQ225" s="121"/>
      <c r="PR225" s="121"/>
      <c r="PS225" s="121"/>
      <c r="PT225" s="121"/>
      <c r="PU225" s="121"/>
      <c r="PV225" s="121"/>
      <c r="PW225" s="121"/>
      <c r="PX225" s="121"/>
      <c r="PY225" s="121"/>
      <c r="PZ225" s="121"/>
      <c r="QA225" s="121"/>
      <c r="QB225" s="121"/>
      <c r="QC225" s="121"/>
      <c r="QD225" s="121"/>
      <c r="QE225" s="121"/>
      <c r="QF225" s="121"/>
      <c r="QG225" s="121"/>
      <c r="QH225" s="121"/>
      <c r="QI225" s="121"/>
      <c r="QJ225" s="121"/>
      <c r="QK225" s="121"/>
      <c r="QL225" s="121"/>
      <c r="QM225" s="121"/>
      <c r="QN225" s="121"/>
      <c r="QO225" s="121"/>
      <c r="QP225" s="121"/>
      <c r="QQ225" s="121"/>
      <c r="QR225" s="121"/>
      <c r="QS225" s="121"/>
      <c r="QT225" s="121"/>
      <c r="QU225" s="121"/>
      <c r="QV225" s="121"/>
      <c r="QW225" s="121"/>
      <c r="QX225" s="121"/>
      <c r="QY225" s="121"/>
      <c r="QZ225" s="121"/>
      <c r="RA225" s="121"/>
      <c r="RB225" s="121"/>
      <c r="RC225" s="121"/>
      <c r="RD225" s="121"/>
      <c r="RE225" s="121"/>
      <c r="RF225" s="121"/>
      <c r="RG225" s="121"/>
      <c r="RH225" s="121"/>
      <c r="RI225" s="121"/>
      <c r="RJ225" s="121"/>
      <c r="RK225" s="121"/>
      <c r="RL225" s="121"/>
      <c r="RM225" s="121"/>
      <c r="RN225" s="121"/>
      <c r="RO225" s="121"/>
      <c r="RP225" s="121"/>
      <c r="RQ225" s="121"/>
      <c r="RR225" s="121"/>
      <c r="RS225" s="121"/>
      <c r="RT225" s="121"/>
      <c r="RU225" s="121"/>
      <c r="RV225" s="121"/>
      <c r="RW225" s="121"/>
      <c r="RX225" s="121"/>
      <c r="RY225" s="121"/>
      <c r="RZ225" s="121"/>
      <c r="SA225" s="121"/>
      <c r="SB225" s="121"/>
      <c r="SC225" s="121"/>
      <c r="SD225" s="121"/>
      <c r="SE225" s="121"/>
      <c r="SF225" s="121"/>
      <c r="SG225" s="121"/>
      <c r="SH225" s="121"/>
      <c r="SI225" s="121"/>
      <c r="SJ225" s="121"/>
      <c r="SK225" s="121"/>
      <c r="SL225" s="121"/>
      <c r="SM225" s="121"/>
      <c r="SN225" s="121"/>
      <c r="SO225" s="121"/>
      <c r="SP225" s="121"/>
      <c r="SQ225" s="121"/>
      <c r="SR225" s="121"/>
      <c r="SS225" s="121"/>
      <c r="ST225" s="121"/>
      <c r="SU225" s="121"/>
      <c r="SV225" s="121"/>
      <c r="SW225" s="121"/>
      <c r="SX225" s="121"/>
      <c r="SY225" s="121"/>
      <c r="SZ225" s="121"/>
      <c r="TA225" s="121"/>
      <c r="TB225" s="121"/>
      <c r="TC225" s="121"/>
      <c r="TD225" s="121"/>
      <c r="TE225" s="121"/>
      <c r="TF225" s="121"/>
      <c r="TG225" s="121"/>
      <c r="TH225" s="121"/>
      <c r="TI225" s="121"/>
      <c r="TJ225" s="121"/>
      <c r="TK225" s="121"/>
      <c r="TL225" s="121"/>
      <c r="TM225" s="121"/>
      <c r="TN225" s="121"/>
      <c r="TO225" s="121"/>
      <c r="TP225" s="121"/>
      <c r="TQ225" s="121"/>
      <c r="TR225" s="121"/>
      <c r="TS225" s="121"/>
      <c r="TT225" s="121"/>
      <c r="TU225" s="121"/>
      <c r="TV225" s="121"/>
      <c r="TW225" s="121"/>
      <c r="TX225" s="121"/>
      <c r="TY225" s="121"/>
      <c r="TZ225" s="121"/>
      <c r="UA225" s="121"/>
      <c r="UB225" s="121"/>
      <c r="UC225" s="121"/>
      <c r="UD225" s="121"/>
      <c r="UE225" s="121"/>
      <c r="UF225" s="121"/>
      <c r="UG225" s="121"/>
      <c r="UH225" s="121"/>
      <c r="UI225" s="121"/>
      <c r="UJ225" s="121"/>
      <c r="UK225" s="121"/>
      <c r="UL225" s="121"/>
      <c r="UM225" s="121"/>
      <c r="UN225" s="121"/>
      <c r="UO225" s="121"/>
      <c r="UP225" s="121"/>
      <c r="UQ225" s="121"/>
      <c r="UR225" s="121"/>
      <c r="US225" s="121"/>
      <c r="UT225" s="121"/>
      <c r="UU225" s="121"/>
      <c r="UV225" s="121"/>
      <c r="UW225" s="121"/>
      <c r="UX225" s="121"/>
      <c r="UY225" s="121"/>
      <c r="UZ225" s="121"/>
      <c r="VA225" s="121"/>
      <c r="VB225" s="121"/>
      <c r="VC225" s="121"/>
      <c r="VD225" s="121"/>
      <c r="VE225" s="121"/>
      <c r="VF225" s="121"/>
      <c r="VG225" s="121"/>
      <c r="VH225" s="121"/>
      <c r="VI225" s="121"/>
      <c r="VJ225" s="121"/>
      <c r="VK225" s="121"/>
      <c r="VL225" s="121"/>
      <c r="VM225" s="121"/>
      <c r="VN225" s="121"/>
      <c r="VO225" s="121"/>
      <c r="VP225" s="121"/>
      <c r="VQ225" s="121"/>
      <c r="VR225" s="121"/>
      <c r="VS225" s="121"/>
      <c r="VT225" s="121"/>
      <c r="VU225" s="121"/>
      <c r="VV225" s="121"/>
      <c r="VW225" s="121"/>
      <c r="VX225" s="121"/>
      <c r="VY225" s="121"/>
      <c r="VZ225" s="121"/>
      <c r="WA225" s="121"/>
      <c r="WB225" s="121"/>
      <c r="WC225" s="121"/>
      <c r="WD225" s="121"/>
      <c r="WE225" s="121"/>
      <c r="WF225" s="121"/>
      <c r="WG225" s="121"/>
      <c r="WH225" s="121"/>
      <c r="WI225" s="121"/>
      <c r="WJ225" s="121"/>
      <c r="WK225" s="121"/>
      <c r="WL225" s="121"/>
      <c r="WM225" s="121"/>
      <c r="WN225" s="121"/>
      <c r="WO225" s="121"/>
      <c r="WP225" s="121"/>
      <c r="WQ225" s="121"/>
      <c r="WR225" s="121"/>
      <c r="WS225" s="121"/>
      <c r="WT225" s="121"/>
      <c r="WU225" s="121"/>
      <c r="WV225" s="121"/>
      <c r="WW225" s="121"/>
      <c r="WX225" s="121"/>
      <c r="WY225" s="121"/>
      <c r="WZ225" s="121"/>
      <c r="XA225" s="121"/>
      <c r="XB225" s="121"/>
      <c r="XC225" s="121"/>
      <c r="XD225" s="121"/>
      <c r="XE225" s="121"/>
      <c r="XF225" s="121"/>
      <c r="XG225" s="121"/>
      <c r="XH225" s="121"/>
      <c r="XI225" s="121"/>
      <c r="XJ225" s="121"/>
      <c r="XK225" s="121"/>
      <c r="XL225" s="121"/>
      <c r="XM225" s="121"/>
      <c r="XN225" s="121"/>
      <c r="XO225" s="121"/>
      <c r="XP225" s="121"/>
      <c r="XQ225" s="121"/>
      <c r="XR225" s="121"/>
      <c r="XS225" s="121"/>
      <c r="XT225" s="121"/>
      <c r="XU225" s="121"/>
      <c r="XV225" s="121"/>
      <c r="XW225" s="121"/>
      <c r="XX225" s="121"/>
      <c r="XY225" s="121"/>
      <c r="XZ225" s="121"/>
      <c r="YA225" s="121"/>
      <c r="YB225" s="121"/>
      <c r="YC225" s="121"/>
      <c r="YD225" s="121"/>
      <c r="YE225" s="121"/>
      <c r="YF225" s="121"/>
      <c r="YG225" s="121"/>
      <c r="YH225" s="121"/>
      <c r="YI225" s="121"/>
      <c r="YJ225" s="121"/>
      <c r="YK225" s="121"/>
      <c r="YL225" s="121"/>
      <c r="YM225" s="121"/>
      <c r="YN225" s="121"/>
      <c r="YO225" s="121"/>
      <c r="YP225" s="121"/>
      <c r="YQ225" s="121"/>
      <c r="YR225" s="121"/>
      <c r="YS225" s="121"/>
      <c r="YT225" s="121"/>
      <c r="YU225" s="121"/>
      <c r="YV225" s="121"/>
      <c r="YW225" s="121"/>
      <c r="YX225" s="121"/>
      <c r="YY225" s="121"/>
      <c r="YZ225" s="121"/>
      <c r="ZA225" s="121"/>
      <c r="ZB225" s="121"/>
      <c r="ZC225" s="121"/>
      <c r="ZD225" s="121"/>
      <c r="ZE225" s="121"/>
      <c r="ZF225" s="121"/>
      <c r="ZG225" s="121"/>
      <c r="ZH225" s="121"/>
      <c r="ZI225" s="121"/>
      <c r="ZJ225" s="121"/>
      <c r="ZK225" s="121"/>
      <c r="ZL225" s="121"/>
      <c r="ZM225" s="121"/>
      <c r="ZN225" s="121"/>
      <c r="ZO225" s="121"/>
      <c r="ZP225" s="121"/>
      <c r="ZQ225" s="121"/>
      <c r="ZR225" s="121"/>
      <c r="ZS225" s="121"/>
      <c r="ZT225" s="121"/>
      <c r="ZU225" s="121"/>
      <c r="ZV225" s="121"/>
      <c r="ZW225" s="121"/>
      <c r="ZX225" s="121"/>
      <c r="ZY225" s="121"/>
      <c r="ZZ225" s="121"/>
      <c r="AAA225" s="121"/>
      <c r="AAB225" s="121"/>
      <c r="AAC225" s="121"/>
      <c r="AAD225" s="121"/>
      <c r="AAE225" s="121"/>
      <c r="AAF225" s="121"/>
      <c r="AAG225" s="121"/>
      <c r="AAH225" s="121"/>
      <c r="AAI225" s="121"/>
      <c r="AAJ225" s="121"/>
      <c r="AAK225" s="121"/>
      <c r="AAL225" s="121"/>
      <c r="AAM225" s="121"/>
      <c r="AAN225" s="121"/>
      <c r="AAO225" s="121"/>
      <c r="AAP225" s="121"/>
      <c r="AAQ225" s="121"/>
      <c r="AAR225" s="121"/>
      <c r="AAS225" s="121"/>
      <c r="AAT225" s="121"/>
      <c r="AAU225" s="121"/>
      <c r="AAV225" s="121"/>
      <c r="AAW225" s="121"/>
      <c r="AAX225" s="121"/>
      <c r="AAY225" s="121"/>
      <c r="AAZ225" s="121"/>
      <c r="ABA225" s="121"/>
      <c r="ABB225" s="121"/>
      <c r="ABC225" s="121"/>
      <c r="ABD225" s="121"/>
      <c r="ABE225" s="121"/>
      <c r="ABF225" s="121"/>
      <c r="ABG225" s="121"/>
      <c r="ABH225" s="121"/>
      <c r="ABI225" s="121"/>
      <c r="ABJ225" s="121"/>
      <c r="ABK225" s="121"/>
      <c r="ABL225" s="121"/>
      <c r="ABM225" s="121"/>
      <c r="ABN225" s="121"/>
      <c r="ABO225" s="121"/>
      <c r="ABP225" s="121"/>
      <c r="ABQ225" s="121"/>
      <c r="ABR225" s="121"/>
      <c r="ABS225" s="121"/>
      <c r="ABT225" s="121"/>
      <c r="ABU225" s="121"/>
      <c r="ABV225" s="121"/>
      <c r="ABW225" s="121"/>
      <c r="ABX225" s="121"/>
      <c r="ABY225" s="121"/>
      <c r="ABZ225" s="121"/>
      <c r="ACA225" s="121"/>
      <c r="ACB225" s="121"/>
      <c r="ACC225" s="121"/>
      <c r="ACD225" s="121"/>
      <c r="ACE225" s="121"/>
      <c r="ACF225" s="121"/>
      <c r="ACG225" s="121"/>
      <c r="ACH225" s="121"/>
      <c r="ACI225" s="121"/>
      <c r="ACJ225" s="121"/>
      <c r="ACK225" s="121"/>
      <c r="ACL225" s="121"/>
      <c r="ACM225" s="121"/>
      <c r="ACN225" s="121"/>
      <c r="ACO225" s="121"/>
      <c r="ACP225" s="121"/>
      <c r="ACQ225" s="121"/>
      <c r="ACR225" s="121"/>
      <c r="ACS225" s="121"/>
      <c r="ACT225" s="121"/>
      <c r="ACU225" s="121"/>
      <c r="ACV225" s="121"/>
      <c r="ACW225" s="121"/>
      <c r="ACX225" s="121"/>
      <c r="ACY225" s="121"/>
      <c r="ACZ225" s="121"/>
      <c r="ADA225" s="121"/>
      <c r="ADB225" s="121"/>
      <c r="ADC225" s="121"/>
      <c r="ADD225" s="121"/>
      <c r="ADE225" s="121"/>
      <c r="ADF225" s="121"/>
      <c r="ADG225" s="121"/>
      <c r="ADH225" s="121"/>
      <c r="ADI225" s="121"/>
      <c r="ADJ225" s="121"/>
      <c r="ADK225" s="121"/>
      <c r="ADL225" s="121"/>
      <c r="ADM225" s="121"/>
      <c r="ADN225" s="121"/>
      <c r="ADO225" s="121"/>
      <c r="ADP225" s="121"/>
      <c r="ADQ225" s="121"/>
      <c r="ADR225" s="121"/>
      <c r="ADS225" s="121"/>
      <c r="ADT225" s="121"/>
      <c r="ADU225" s="121"/>
      <c r="ADV225" s="121"/>
      <c r="ADW225" s="121"/>
      <c r="ADX225" s="121"/>
      <c r="ADY225" s="121"/>
      <c r="ADZ225" s="121"/>
      <c r="AEA225" s="121"/>
      <c r="AEB225" s="121"/>
      <c r="AEC225" s="121"/>
      <c r="AED225" s="121"/>
      <c r="AEE225" s="121"/>
      <c r="AEF225" s="121"/>
      <c r="AEG225" s="121"/>
      <c r="AEH225" s="121"/>
      <c r="AEI225" s="121"/>
      <c r="AEJ225" s="121"/>
      <c r="AEK225" s="121"/>
      <c r="AEL225" s="121"/>
      <c r="AEM225" s="121"/>
      <c r="AEN225" s="121"/>
      <c r="AEO225" s="121"/>
      <c r="AEP225" s="121"/>
      <c r="AEQ225" s="121"/>
      <c r="AER225" s="121"/>
      <c r="AES225" s="121"/>
      <c r="AET225" s="121"/>
      <c r="AEU225" s="121"/>
      <c r="AEV225" s="121"/>
      <c r="AEW225" s="121"/>
      <c r="AEX225" s="121"/>
      <c r="AEY225" s="121"/>
      <c r="AEZ225" s="121"/>
      <c r="AFA225" s="121"/>
      <c r="AFB225" s="121"/>
      <c r="AFC225" s="121"/>
      <c r="AFD225" s="121"/>
      <c r="AFE225" s="121"/>
      <c r="AFF225" s="121"/>
      <c r="AFG225" s="121"/>
      <c r="AFH225" s="121"/>
      <c r="AFI225" s="121"/>
      <c r="AFJ225" s="121"/>
      <c r="AFK225" s="121"/>
      <c r="AFL225" s="121"/>
      <c r="AFM225" s="121"/>
      <c r="AFN225" s="121"/>
      <c r="AFO225" s="121"/>
      <c r="AFP225" s="121"/>
      <c r="AFQ225" s="121"/>
      <c r="AFR225" s="121"/>
      <c r="AFS225" s="121"/>
      <c r="AFT225" s="121"/>
      <c r="AFU225" s="121"/>
      <c r="AFV225" s="121"/>
      <c r="AFW225" s="121"/>
      <c r="AFX225" s="121"/>
      <c r="AFY225" s="121"/>
      <c r="AFZ225" s="121"/>
      <c r="AGA225" s="121"/>
      <c r="AGB225" s="121"/>
      <c r="AGC225" s="121"/>
      <c r="AGD225" s="121"/>
      <c r="AGE225" s="121"/>
    </row>
    <row r="226" spans="1:863" s="180" customFormat="1" ht="15.75" customHeight="1" x14ac:dyDescent="0.25">
      <c r="A226" s="390">
        <v>43375</v>
      </c>
      <c r="B226" s="368" t="s">
        <v>174</v>
      </c>
      <c r="C226" s="178" t="s">
        <v>31</v>
      </c>
      <c r="D226" s="178" t="s">
        <v>30</v>
      </c>
      <c r="E226" s="178" t="s">
        <v>81</v>
      </c>
      <c r="F226" s="178">
        <v>71</v>
      </c>
      <c r="G226" s="178">
        <v>108</v>
      </c>
      <c r="H226" s="504">
        <v>3490</v>
      </c>
      <c r="I226" s="178">
        <v>1047</v>
      </c>
      <c r="J226" s="179"/>
      <c r="K226" s="281" t="s">
        <v>396</v>
      </c>
      <c r="L226" s="282" t="s">
        <v>395</v>
      </c>
      <c r="M226" s="510"/>
      <c r="N226" s="236"/>
      <c r="O226" s="121"/>
      <c r="P226" s="121"/>
      <c r="Q226" s="121"/>
      <c r="R226" s="121"/>
      <c r="S226" s="121"/>
      <c r="T226" s="121"/>
      <c r="U226" s="121"/>
      <c r="V226" s="121"/>
      <c r="W226" s="121"/>
      <c r="X226" s="121"/>
      <c r="Y226" s="121"/>
      <c r="Z226" s="121"/>
      <c r="AA226" s="121"/>
      <c r="AB226" s="121"/>
      <c r="AC226" s="121"/>
      <c r="AD226" s="121"/>
      <c r="AE226" s="121"/>
      <c r="AF226" s="121"/>
      <c r="AG226" s="121"/>
      <c r="AH226" s="121"/>
      <c r="AI226" s="121"/>
      <c r="AJ226" s="121"/>
      <c r="AK226" s="121"/>
      <c r="AL226" s="121"/>
      <c r="AM226" s="121"/>
      <c r="AN226" s="121"/>
      <c r="AO226" s="121"/>
      <c r="AP226" s="121"/>
      <c r="AQ226" s="121"/>
      <c r="AR226" s="121"/>
      <c r="AS226" s="121"/>
      <c r="AT226" s="121"/>
      <c r="AU226" s="121"/>
      <c r="AV226" s="121"/>
      <c r="AW226" s="121"/>
      <c r="AX226" s="121"/>
      <c r="AY226" s="121"/>
      <c r="AZ226" s="121"/>
      <c r="BA226" s="121"/>
      <c r="BB226" s="121"/>
      <c r="BC226" s="121"/>
      <c r="BD226" s="121"/>
      <c r="BE226" s="121"/>
      <c r="BF226" s="121"/>
      <c r="BG226" s="121"/>
      <c r="BH226" s="121"/>
      <c r="BI226" s="121"/>
      <c r="BJ226" s="121"/>
      <c r="BK226" s="121"/>
      <c r="BL226" s="121"/>
      <c r="BM226" s="121"/>
      <c r="BN226" s="121"/>
      <c r="BO226" s="121"/>
      <c r="BP226" s="121"/>
      <c r="BQ226" s="121"/>
      <c r="BR226" s="121"/>
      <c r="BS226" s="121"/>
      <c r="BT226" s="121"/>
      <c r="BU226" s="121"/>
      <c r="BV226" s="121"/>
      <c r="BW226" s="121"/>
      <c r="BX226" s="121"/>
      <c r="BY226" s="121"/>
      <c r="BZ226" s="121"/>
      <c r="CA226" s="121"/>
      <c r="CB226" s="121"/>
      <c r="CC226" s="121"/>
      <c r="CD226" s="121"/>
      <c r="CE226" s="121"/>
      <c r="CF226" s="121"/>
      <c r="CG226" s="121"/>
      <c r="CH226" s="121"/>
      <c r="CI226" s="121"/>
      <c r="CJ226" s="121"/>
      <c r="CK226" s="121"/>
      <c r="CL226" s="121"/>
      <c r="CM226" s="121"/>
      <c r="CN226" s="121"/>
      <c r="CO226" s="121"/>
      <c r="CP226" s="121"/>
      <c r="CQ226" s="121"/>
      <c r="CR226" s="121"/>
      <c r="CS226" s="121"/>
      <c r="CT226" s="121"/>
      <c r="CU226" s="121"/>
      <c r="CV226" s="121"/>
      <c r="CW226" s="121"/>
      <c r="CX226" s="121"/>
      <c r="CY226" s="121"/>
      <c r="CZ226" s="121"/>
      <c r="DA226" s="121"/>
      <c r="DB226" s="121"/>
      <c r="DC226" s="121"/>
      <c r="DD226" s="121"/>
      <c r="DE226" s="121"/>
      <c r="DF226" s="121"/>
      <c r="DG226" s="121"/>
      <c r="DH226" s="121"/>
      <c r="DI226" s="121"/>
      <c r="DJ226" s="121"/>
      <c r="DK226" s="121"/>
      <c r="DL226" s="121"/>
      <c r="DM226" s="121"/>
      <c r="DN226" s="121"/>
      <c r="DO226" s="121"/>
      <c r="DP226" s="121"/>
      <c r="DQ226" s="121"/>
      <c r="DR226" s="121"/>
      <c r="DS226" s="121"/>
      <c r="DT226" s="121"/>
      <c r="DU226" s="121"/>
      <c r="DV226" s="121"/>
      <c r="DW226" s="121"/>
      <c r="DX226" s="121"/>
      <c r="DY226" s="121"/>
      <c r="DZ226" s="121"/>
      <c r="EA226" s="121"/>
      <c r="EB226" s="121"/>
      <c r="EC226" s="121"/>
      <c r="ED226" s="121"/>
      <c r="EE226" s="121"/>
      <c r="EF226" s="121"/>
      <c r="EG226" s="121"/>
      <c r="EH226" s="121"/>
      <c r="EI226" s="121"/>
      <c r="EJ226" s="121"/>
      <c r="EK226" s="121"/>
      <c r="EL226" s="121"/>
      <c r="EM226" s="121"/>
      <c r="EN226" s="121"/>
      <c r="EO226" s="121"/>
      <c r="EP226" s="121"/>
      <c r="EQ226" s="121"/>
      <c r="ER226" s="121"/>
      <c r="ES226" s="121"/>
      <c r="ET226" s="121"/>
      <c r="EU226" s="121"/>
      <c r="EV226" s="121"/>
      <c r="EW226" s="121"/>
      <c r="EX226" s="121"/>
      <c r="EY226" s="121"/>
      <c r="EZ226" s="121"/>
      <c r="FA226" s="121"/>
      <c r="FB226" s="121"/>
      <c r="FC226" s="121"/>
      <c r="FD226" s="121"/>
      <c r="FE226" s="121"/>
      <c r="FF226" s="121"/>
      <c r="FG226" s="121"/>
      <c r="FH226" s="121"/>
      <c r="FI226" s="121"/>
      <c r="FJ226" s="121"/>
      <c r="FK226" s="121"/>
      <c r="FL226" s="121"/>
      <c r="FM226" s="121"/>
      <c r="FN226" s="121"/>
      <c r="FO226" s="121"/>
      <c r="FP226" s="121"/>
      <c r="FQ226" s="121"/>
      <c r="FR226" s="121"/>
      <c r="FS226" s="121"/>
      <c r="FT226" s="121"/>
      <c r="FU226" s="121"/>
      <c r="FV226" s="121"/>
      <c r="FW226" s="121"/>
      <c r="FX226" s="121"/>
      <c r="FY226" s="121"/>
      <c r="FZ226" s="121"/>
      <c r="GA226" s="121"/>
      <c r="GB226" s="121"/>
      <c r="GC226" s="121"/>
      <c r="GD226" s="121"/>
      <c r="GE226" s="121"/>
      <c r="GF226" s="121"/>
      <c r="GG226" s="121"/>
      <c r="GH226" s="121"/>
      <c r="GI226" s="121"/>
      <c r="GJ226" s="121"/>
      <c r="GK226" s="121"/>
      <c r="GL226" s="121"/>
      <c r="GM226" s="121"/>
      <c r="GN226" s="121"/>
      <c r="GO226" s="121"/>
      <c r="GP226" s="121"/>
      <c r="GQ226" s="121"/>
      <c r="GR226" s="121"/>
      <c r="GS226" s="121"/>
      <c r="GT226" s="121"/>
      <c r="GU226" s="121"/>
      <c r="GV226" s="121"/>
      <c r="GW226" s="121"/>
      <c r="GX226" s="121"/>
      <c r="GY226" s="121"/>
      <c r="GZ226" s="121"/>
      <c r="HA226" s="121"/>
      <c r="HB226" s="121"/>
      <c r="HC226" s="121"/>
      <c r="HD226" s="121"/>
      <c r="HE226" s="121"/>
      <c r="HF226" s="121"/>
      <c r="HG226" s="121"/>
      <c r="HH226" s="121"/>
      <c r="HI226" s="121"/>
      <c r="HJ226" s="121"/>
      <c r="HK226" s="121"/>
      <c r="HL226" s="121"/>
      <c r="HM226" s="121"/>
      <c r="HN226" s="121"/>
      <c r="HO226" s="121"/>
      <c r="HP226" s="121"/>
      <c r="HQ226" s="121"/>
      <c r="HR226" s="121"/>
      <c r="HS226" s="121"/>
      <c r="HT226" s="121"/>
      <c r="HU226" s="121"/>
      <c r="HV226" s="121"/>
      <c r="HW226" s="121"/>
      <c r="HX226" s="121"/>
      <c r="HY226" s="121"/>
      <c r="HZ226" s="121"/>
      <c r="IA226" s="121"/>
      <c r="IB226" s="121"/>
      <c r="IC226" s="121"/>
      <c r="ID226" s="121"/>
      <c r="IE226" s="121"/>
      <c r="IF226" s="121"/>
      <c r="IG226" s="121"/>
      <c r="IH226" s="121"/>
      <c r="II226" s="121"/>
      <c r="IJ226" s="121"/>
      <c r="IK226" s="121"/>
      <c r="IL226" s="121"/>
      <c r="IM226" s="121"/>
      <c r="IN226" s="121"/>
      <c r="IO226" s="121"/>
      <c r="IP226" s="121"/>
      <c r="IQ226" s="121"/>
      <c r="IR226" s="121"/>
      <c r="IS226" s="121"/>
      <c r="IT226" s="121"/>
      <c r="IU226" s="121"/>
      <c r="IV226" s="121"/>
      <c r="IW226" s="121"/>
      <c r="IX226" s="121"/>
      <c r="IY226" s="121"/>
      <c r="IZ226" s="121"/>
      <c r="JA226" s="121"/>
      <c r="JB226" s="121"/>
      <c r="JC226" s="121"/>
      <c r="JD226" s="121"/>
      <c r="JE226" s="121"/>
      <c r="JF226" s="121"/>
      <c r="JG226" s="121"/>
      <c r="JH226" s="121"/>
      <c r="JI226" s="121"/>
      <c r="JJ226" s="121"/>
      <c r="JK226" s="121"/>
      <c r="JL226" s="121"/>
      <c r="JM226" s="121"/>
      <c r="JN226" s="121"/>
      <c r="JO226" s="121"/>
      <c r="JP226" s="121"/>
      <c r="JQ226" s="121"/>
      <c r="JR226" s="121"/>
      <c r="JS226" s="121"/>
      <c r="JT226" s="121"/>
      <c r="JU226" s="121"/>
      <c r="JV226" s="121"/>
      <c r="JW226" s="121"/>
      <c r="JX226" s="121"/>
      <c r="JY226" s="121"/>
      <c r="JZ226" s="121"/>
      <c r="KA226" s="121"/>
      <c r="KB226" s="121"/>
      <c r="KC226" s="121"/>
      <c r="KD226" s="121"/>
      <c r="KE226" s="121"/>
      <c r="KF226" s="121"/>
      <c r="KG226" s="121"/>
      <c r="KH226" s="121"/>
      <c r="KI226" s="121"/>
      <c r="KJ226" s="121"/>
      <c r="KK226" s="121"/>
      <c r="KL226" s="121"/>
      <c r="KM226" s="121"/>
      <c r="KN226" s="121"/>
      <c r="KO226" s="121"/>
      <c r="KP226" s="121"/>
      <c r="KQ226" s="121"/>
      <c r="KR226" s="121"/>
      <c r="KS226" s="121"/>
      <c r="KT226" s="121"/>
      <c r="KU226" s="121"/>
      <c r="KV226" s="121"/>
      <c r="KW226" s="121"/>
      <c r="KX226" s="121"/>
      <c r="KY226" s="121"/>
      <c r="KZ226" s="121"/>
      <c r="LA226" s="121"/>
      <c r="LB226" s="121"/>
      <c r="LC226" s="121"/>
      <c r="LD226" s="121"/>
      <c r="LE226" s="121"/>
      <c r="LF226" s="121"/>
      <c r="LG226" s="121"/>
      <c r="LH226" s="121"/>
      <c r="LI226" s="121"/>
      <c r="LJ226" s="121"/>
      <c r="LK226" s="121"/>
      <c r="LL226" s="121"/>
      <c r="LM226" s="121"/>
      <c r="LN226" s="121"/>
      <c r="LO226" s="121"/>
      <c r="LP226" s="121"/>
      <c r="LQ226" s="121"/>
      <c r="LR226" s="121"/>
      <c r="LS226" s="121"/>
      <c r="LT226" s="121"/>
      <c r="LU226" s="121"/>
      <c r="LV226" s="121"/>
      <c r="LW226" s="121"/>
      <c r="LX226" s="121"/>
      <c r="LY226" s="121"/>
      <c r="LZ226" s="121"/>
      <c r="MA226" s="121"/>
      <c r="MB226" s="121"/>
      <c r="MC226" s="121"/>
      <c r="MD226" s="121"/>
      <c r="ME226" s="121"/>
      <c r="MF226" s="121"/>
      <c r="MG226" s="121"/>
      <c r="MH226" s="121"/>
      <c r="MI226" s="121"/>
      <c r="MJ226" s="121"/>
      <c r="MK226" s="121"/>
      <c r="ML226" s="121"/>
      <c r="MM226" s="121"/>
      <c r="MN226" s="121"/>
      <c r="MO226" s="121"/>
      <c r="MP226" s="121"/>
      <c r="MQ226" s="121"/>
      <c r="MR226" s="121"/>
      <c r="MS226" s="121"/>
      <c r="MT226" s="121"/>
      <c r="MU226" s="121"/>
      <c r="MV226" s="121"/>
      <c r="MW226" s="121"/>
      <c r="MX226" s="121"/>
      <c r="MY226" s="121"/>
      <c r="MZ226" s="121"/>
      <c r="NA226" s="121"/>
      <c r="NB226" s="121"/>
      <c r="NC226" s="121"/>
      <c r="ND226" s="121"/>
      <c r="NE226" s="121"/>
      <c r="NF226" s="121"/>
      <c r="NG226" s="121"/>
      <c r="NH226" s="121"/>
      <c r="NI226" s="121"/>
      <c r="NJ226" s="121"/>
      <c r="NK226" s="121"/>
      <c r="NL226" s="121"/>
      <c r="NM226" s="121"/>
      <c r="NN226" s="121"/>
      <c r="NO226" s="121"/>
      <c r="NP226" s="121"/>
      <c r="NQ226" s="121"/>
      <c r="NR226" s="121"/>
      <c r="NS226" s="121"/>
      <c r="NT226" s="121"/>
      <c r="NU226" s="121"/>
      <c r="NV226" s="121"/>
      <c r="NW226" s="121"/>
      <c r="NX226" s="121"/>
      <c r="NY226" s="121"/>
      <c r="NZ226" s="121"/>
      <c r="OA226" s="121"/>
      <c r="OB226" s="121"/>
      <c r="OC226" s="121"/>
      <c r="OD226" s="121"/>
      <c r="OE226" s="121"/>
      <c r="OF226" s="121"/>
      <c r="OG226" s="121"/>
      <c r="OH226" s="121"/>
      <c r="OI226" s="121"/>
      <c r="OJ226" s="121"/>
      <c r="OK226" s="121"/>
      <c r="OL226" s="121"/>
      <c r="OM226" s="121"/>
      <c r="ON226" s="121"/>
      <c r="OO226" s="121"/>
      <c r="OP226" s="121"/>
      <c r="OQ226" s="121"/>
      <c r="OR226" s="121"/>
      <c r="OS226" s="121"/>
      <c r="OT226" s="121"/>
      <c r="OU226" s="121"/>
      <c r="OV226" s="121"/>
      <c r="OW226" s="121"/>
      <c r="OX226" s="121"/>
      <c r="OY226" s="121"/>
      <c r="OZ226" s="121"/>
      <c r="PA226" s="121"/>
      <c r="PB226" s="121"/>
      <c r="PC226" s="121"/>
      <c r="PD226" s="121"/>
      <c r="PE226" s="121"/>
      <c r="PF226" s="121"/>
      <c r="PG226" s="121"/>
      <c r="PH226" s="121"/>
      <c r="PI226" s="121"/>
      <c r="PJ226" s="121"/>
      <c r="PK226" s="121"/>
      <c r="PL226" s="121"/>
      <c r="PM226" s="121"/>
      <c r="PN226" s="121"/>
      <c r="PO226" s="121"/>
      <c r="PP226" s="121"/>
      <c r="PQ226" s="121"/>
      <c r="PR226" s="121"/>
      <c r="PS226" s="121"/>
      <c r="PT226" s="121"/>
      <c r="PU226" s="121"/>
      <c r="PV226" s="121"/>
      <c r="PW226" s="121"/>
      <c r="PX226" s="121"/>
      <c r="PY226" s="121"/>
      <c r="PZ226" s="121"/>
      <c r="QA226" s="121"/>
      <c r="QB226" s="121"/>
      <c r="QC226" s="121"/>
      <c r="QD226" s="121"/>
      <c r="QE226" s="121"/>
      <c r="QF226" s="121"/>
      <c r="QG226" s="121"/>
      <c r="QH226" s="121"/>
      <c r="QI226" s="121"/>
      <c r="QJ226" s="121"/>
      <c r="QK226" s="121"/>
      <c r="QL226" s="121"/>
      <c r="QM226" s="121"/>
      <c r="QN226" s="121"/>
      <c r="QO226" s="121"/>
      <c r="QP226" s="121"/>
      <c r="QQ226" s="121"/>
      <c r="QR226" s="121"/>
      <c r="QS226" s="121"/>
      <c r="QT226" s="121"/>
      <c r="QU226" s="121"/>
      <c r="QV226" s="121"/>
      <c r="QW226" s="121"/>
      <c r="QX226" s="121"/>
      <c r="QY226" s="121"/>
      <c r="QZ226" s="121"/>
      <c r="RA226" s="121"/>
      <c r="RB226" s="121"/>
      <c r="RC226" s="121"/>
      <c r="RD226" s="121"/>
      <c r="RE226" s="121"/>
      <c r="RF226" s="121"/>
      <c r="RG226" s="121"/>
      <c r="RH226" s="121"/>
      <c r="RI226" s="121"/>
      <c r="RJ226" s="121"/>
      <c r="RK226" s="121"/>
      <c r="RL226" s="121"/>
      <c r="RM226" s="121"/>
      <c r="RN226" s="121"/>
      <c r="RO226" s="121"/>
      <c r="RP226" s="121"/>
      <c r="RQ226" s="121"/>
      <c r="RR226" s="121"/>
      <c r="RS226" s="121"/>
      <c r="RT226" s="121"/>
      <c r="RU226" s="121"/>
      <c r="RV226" s="121"/>
      <c r="RW226" s="121"/>
      <c r="RX226" s="121"/>
      <c r="RY226" s="121"/>
      <c r="RZ226" s="121"/>
      <c r="SA226" s="121"/>
      <c r="SB226" s="121"/>
      <c r="SC226" s="121"/>
      <c r="SD226" s="121"/>
      <c r="SE226" s="121"/>
      <c r="SF226" s="121"/>
      <c r="SG226" s="121"/>
      <c r="SH226" s="121"/>
      <c r="SI226" s="121"/>
      <c r="SJ226" s="121"/>
      <c r="SK226" s="121"/>
      <c r="SL226" s="121"/>
      <c r="SM226" s="121"/>
      <c r="SN226" s="121"/>
      <c r="SO226" s="121"/>
      <c r="SP226" s="121"/>
      <c r="SQ226" s="121"/>
      <c r="SR226" s="121"/>
      <c r="SS226" s="121"/>
      <c r="ST226" s="121"/>
      <c r="SU226" s="121"/>
      <c r="SV226" s="121"/>
      <c r="SW226" s="121"/>
      <c r="SX226" s="121"/>
      <c r="SY226" s="121"/>
      <c r="SZ226" s="121"/>
      <c r="TA226" s="121"/>
      <c r="TB226" s="121"/>
      <c r="TC226" s="121"/>
      <c r="TD226" s="121"/>
      <c r="TE226" s="121"/>
      <c r="TF226" s="121"/>
      <c r="TG226" s="121"/>
      <c r="TH226" s="121"/>
      <c r="TI226" s="121"/>
      <c r="TJ226" s="121"/>
      <c r="TK226" s="121"/>
      <c r="TL226" s="121"/>
      <c r="TM226" s="121"/>
      <c r="TN226" s="121"/>
      <c r="TO226" s="121"/>
      <c r="TP226" s="121"/>
      <c r="TQ226" s="121"/>
      <c r="TR226" s="121"/>
      <c r="TS226" s="121"/>
      <c r="TT226" s="121"/>
      <c r="TU226" s="121"/>
      <c r="TV226" s="121"/>
      <c r="TW226" s="121"/>
      <c r="TX226" s="121"/>
      <c r="TY226" s="121"/>
      <c r="TZ226" s="121"/>
      <c r="UA226" s="121"/>
      <c r="UB226" s="121"/>
      <c r="UC226" s="121"/>
      <c r="UD226" s="121"/>
      <c r="UE226" s="121"/>
      <c r="UF226" s="121"/>
      <c r="UG226" s="121"/>
      <c r="UH226" s="121"/>
      <c r="UI226" s="121"/>
      <c r="UJ226" s="121"/>
      <c r="UK226" s="121"/>
      <c r="UL226" s="121"/>
      <c r="UM226" s="121"/>
      <c r="UN226" s="121"/>
      <c r="UO226" s="121"/>
      <c r="UP226" s="121"/>
      <c r="UQ226" s="121"/>
      <c r="UR226" s="121"/>
      <c r="US226" s="121"/>
      <c r="UT226" s="121"/>
      <c r="UU226" s="121"/>
      <c r="UV226" s="121"/>
      <c r="UW226" s="121"/>
      <c r="UX226" s="121"/>
      <c r="UY226" s="121"/>
      <c r="UZ226" s="121"/>
      <c r="VA226" s="121"/>
      <c r="VB226" s="121"/>
      <c r="VC226" s="121"/>
      <c r="VD226" s="121"/>
      <c r="VE226" s="121"/>
      <c r="VF226" s="121"/>
      <c r="VG226" s="121"/>
      <c r="VH226" s="121"/>
      <c r="VI226" s="121"/>
      <c r="VJ226" s="121"/>
      <c r="VK226" s="121"/>
      <c r="VL226" s="121"/>
      <c r="VM226" s="121"/>
      <c r="VN226" s="121"/>
      <c r="VO226" s="121"/>
      <c r="VP226" s="121"/>
      <c r="VQ226" s="121"/>
      <c r="VR226" s="121"/>
      <c r="VS226" s="121"/>
      <c r="VT226" s="121"/>
      <c r="VU226" s="121"/>
      <c r="VV226" s="121"/>
      <c r="VW226" s="121"/>
      <c r="VX226" s="121"/>
      <c r="VY226" s="121"/>
      <c r="VZ226" s="121"/>
      <c r="WA226" s="121"/>
      <c r="WB226" s="121"/>
      <c r="WC226" s="121"/>
      <c r="WD226" s="121"/>
      <c r="WE226" s="121"/>
      <c r="WF226" s="121"/>
      <c r="WG226" s="121"/>
      <c r="WH226" s="121"/>
      <c r="WI226" s="121"/>
      <c r="WJ226" s="121"/>
      <c r="WK226" s="121"/>
      <c r="WL226" s="121"/>
      <c r="WM226" s="121"/>
      <c r="WN226" s="121"/>
      <c r="WO226" s="121"/>
      <c r="WP226" s="121"/>
      <c r="WQ226" s="121"/>
      <c r="WR226" s="121"/>
      <c r="WS226" s="121"/>
      <c r="WT226" s="121"/>
      <c r="WU226" s="121"/>
      <c r="WV226" s="121"/>
      <c r="WW226" s="121"/>
      <c r="WX226" s="121"/>
      <c r="WY226" s="121"/>
      <c r="WZ226" s="121"/>
      <c r="XA226" s="121"/>
      <c r="XB226" s="121"/>
      <c r="XC226" s="121"/>
      <c r="XD226" s="121"/>
      <c r="XE226" s="121"/>
      <c r="XF226" s="121"/>
      <c r="XG226" s="121"/>
      <c r="XH226" s="121"/>
      <c r="XI226" s="121"/>
      <c r="XJ226" s="121"/>
      <c r="XK226" s="121"/>
      <c r="XL226" s="121"/>
      <c r="XM226" s="121"/>
      <c r="XN226" s="121"/>
      <c r="XO226" s="121"/>
      <c r="XP226" s="121"/>
      <c r="XQ226" s="121"/>
      <c r="XR226" s="121"/>
      <c r="XS226" s="121"/>
      <c r="XT226" s="121"/>
      <c r="XU226" s="121"/>
      <c r="XV226" s="121"/>
      <c r="XW226" s="121"/>
      <c r="XX226" s="121"/>
      <c r="XY226" s="121"/>
      <c r="XZ226" s="121"/>
      <c r="YA226" s="121"/>
      <c r="YB226" s="121"/>
      <c r="YC226" s="121"/>
      <c r="YD226" s="121"/>
      <c r="YE226" s="121"/>
      <c r="YF226" s="121"/>
      <c r="YG226" s="121"/>
      <c r="YH226" s="121"/>
      <c r="YI226" s="121"/>
      <c r="YJ226" s="121"/>
      <c r="YK226" s="121"/>
      <c r="YL226" s="121"/>
      <c r="YM226" s="121"/>
      <c r="YN226" s="121"/>
      <c r="YO226" s="121"/>
      <c r="YP226" s="121"/>
      <c r="YQ226" s="121"/>
      <c r="YR226" s="121"/>
      <c r="YS226" s="121"/>
      <c r="YT226" s="121"/>
      <c r="YU226" s="121"/>
      <c r="YV226" s="121"/>
      <c r="YW226" s="121"/>
      <c r="YX226" s="121"/>
      <c r="YY226" s="121"/>
      <c r="YZ226" s="121"/>
      <c r="ZA226" s="121"/>
      <c r="ZB226" s="121"/>
      <c r="ZC226" s="121"/>
      <c r="ZD226" s="121"/>
      <c r="ZE226" s="121"/>
      <c r="ZF226" s="121"/>
      <c r="ZG226" s="121"/>
      <c r="ZH226" s="121"/>
      <c r="ZI226" s="121"/>
      <c r="ZJ226" s="121"/>
      <c r="ZK226" s="121"/>
      <c r="ZL226" s="121"/>
      <c r="ZM226" s="121"/>
      <c r="ZN226" s="121"/>
      <c r="ZO226" s="121"/>
      <c r="ZP226" s="121"/>
      <c r="ZQ226" s="121"/>
      <c r="ZR226" s="121"/>
      <c r="ZS226" s="121"/>
      <c r="ZT226" s="121"/>
      <c r="ZU226" s="121"/>
      <c r="ZV226" s="121"/>
      <c r="ZW226" s="121"/>
      <c r="ZX226" s="121"/>
      <c r="ZY226" s="121"/>
      <c r="ZZ226" s="121"/>
      <c r="AAA226" s="121"/>
      <c r="AAB226" s="121"/>
      <c r="AAC226" s="121"/>
      <c r="AAD226" s="121"/>
      <c r="AAE226" s="121"/>
      <c r="AAF226" s="121"/>
      <c r="AAG226" s="121"/>
      <c r="AAH226" s="121"/>
      <c r="AAI226" s="121"/>
      <c r="AAJ226" s="121"/>
      <c r="AAK226" s="121"/>
      <c r="AAL226" s="121"/>
      <c r="AAM226" s="121"/>
      <c r="AAN226" s="121"/>
      <c r="AAO226" s="121"/>
      <c r="AAP226" s="121"/>
      <c r="AAQ226" s="121"/>
      <c r="AAR226" s="121"/>
      <c r="AAS226" s="121"/>
      <c r="AAT226" s="121"/>
      <c r="AAU226" s="121"/>
      <c r="AAV226" s="121"/>
      <c r="AAW226" s="121"/>
      <c r="AAX226" s="121"/>
      <c r="AAY226" s="121"/>
      <c r="AAZ226" s="121"/>
      <c r="ABA226" s="121"/>
      <c r="ABB226" s="121"/>
      <c r="ABC226" s="121"/>
      <c r="ABD226" s="121"/>
      <c r="ABE226" s="121"/>
      <c r="ABF226" s="121"/>
      <c r="ABG226" s="121"/>
      <c r="ABH226" s="121"/>
      <c r="ABI226" s="121"/>
      <c r="ABJ226" s="121"/>
      <c r="ABK226" s="121"/>
      <c r="ABL226" s="121"/>
      <c r="ABM226" s="121"/>
      <c r="ABN226" s="121"/>
      <c r="ABO226" s="121"/>
      <c r="ABP226" s="121"/>
      <c r="ABQ226" s="121"/>
      <c r="ABR226" s="121"/>
      <c r="ABS226" s="121"/>
      <c r="ABT226" s="121"/>
      <c r="ABU226" s="121"/>
      <c r="ABV226" s="121"/>
      <c r="ABW226" s="121"/>
      <c r="ABX226" s="121"/>
      <c r="ABY226" s="121"/>
      <c r="ABZ226" s="121"/>
      <c r="ACA226" s="121"/>
      <c r="ACB226" s="121"/>
      <c r="ACC226" s="121"/>
      <c r="ACD226" s="121"/>
      <c r="ACE226" s="121"/>
      <c r="ACF226" s="121"/>
      <c r="ACG226" s="121"/>
      <c r="ACH226" s="121"/>
      <c r="ACI226" s="121"/>
      <c r="ACJ226" s="121"/>
      <c r="ACK226" s="121"/>
      <c r="ACL226" s="121"/>
      <c r="ACM226" s="121"/>
      <c r="ACN226" s="121"/>
      <c r="ACO226" s="121"/>
      <c r="ACP226" s="121"/>
      <c r="ACQ226" s="121"/>
      <c r="ACR226" s="121"/>
      <c r="ACS226" s="121"/>
      <c r="ACT226" s="121"/>
      <c r="ACU226" s="121"/>
      <c r="ACV226" s="121"/>
      <c r="ACW226" s="121"/>
      <c r="ACX226" s="121"/>
      <c r="ACY226" s="121"/>
      <c r="ACZ226" s="121"/>
      <c r="ADA226" s="121"/>
      <c r="ADB226" s="121"/>
      <c r="ADC226" s="121"/>
      <c r="ADD226" s="121"/>
      <c r="ADE226" s="121"/>
      <c r="ADF226" s="121"/>
      <c r="ADG226" s="121"/>
      <c r="ADH226" s="121"/>
      <c r="ADI226" s="121"/>
      <c r="ADJ226" s="121"/>
      <c r="ADK226" s="121"/>
      <c r="ADL226" s="121"/>
      <c r="ADM226" s="121"/>
      <c r="ADN226" s="121"/>
      <c r="ADO226" s="121"/>
      <c r="ADP226" s="121"/>
      <c r="ADQ226" s="121"/>
      <c r="ADR226" s="121"/>
      <c r="ADS226" s="121"/>
      <c r="ADT226" s="121"/>
      <c r="ADU226" s="121"/>
      <c r="ADV226" s="121"/>
      <c r="ADW226" s="121"/>
      <c r="ADX226" s="121"/>
      <c r="ADY226" s="121"/>
      <c r="ADZ226" s="121"/>
      <c r="AEA226" s="121"/>
      <c r="AEB226" s="121"/>
      <c r="AEC226" s="121"/>
      <c r="AED226" s="121"/>
      <c r="AEE226" s="121"/>
      <c r="AEF226" s="121"/>
      <c r="AEG226" s="121"/>
      <c r="AEH226" s="121"/>
      <c r="AEI226" s="121"/>
      <c r="AEJ226" s="121"/>
      <c r="AEK226" s="121"/>
      <c r="AEL226" s="121"/>
      <c r="AEM226" s="121"/>
      <c r="AEN226" s="121"/>
      <c r="AEO226" s="121"/>
      <c r="AEP226" s="121"/>
      <c r="AEQ226" s="121"/>
      <c r="AER226" s="121"/>
      <c r="AES226" s="121"/>
      <c r="AET226" s="121"/>
      <c r="AEU226" s="121"/>
      <c r="AEV226" s="121"/>
      <c r="AEW226" s="121"/>
      <c r="AEX226" s="121"/>
      <c r="AEY226" s="121"/>
      <c r="AEZ226" s="121"/>
      <c r="AFA226" s="121"/>
      <c r="AFB226" s="121"/>
      <c r="AFC226" s="121"/>
      <c r="AFD226" s="121"/>
      <c r="AFE226" s="121"/>
      <c r="AFF226" s="121"/>
      <c r="AFG226" s="121"/>
      <c r="AFH226" s="121"/>
      <c r="AFI226" s="121"/>
      <c r="AFJ226" s="121"/>
      <c r="AFK226" s="121"/>
      <c r="AFL226" s="121"/>
      <c r="AFM226" s="121"/>
      <c r="AFN226" s="121"/>
      <c r="AFO226" s="121"/>
      <c r="AFP226" s="121"/>
      <c r="AFQ226" s="121"/>
      <c r="AFR226" s="121"/>
      <c r="AFS226" s="121"/>
      <c r="AFT226" s="121"/>
      <c r="AFU226" s="121"/>
      <c r="AFV226" s="121"/>
      <c r="AFW226" s="121"/>
      <c r="AFX226" s="121"/>
      <c r="AFY226" s="121"/>
      <c r="AFZ226" s="121"/>
      <c r="AGA226" s="121"/>
      <c r="AGB226" s="121"/>
      <c r="AGC226" s="121"/>
      <c r="AGD226" s="121"/>
      <c r="AGE226" s="121"/>
    </row>
    <row r="227" spans="1:863" s="180" customFormat="1" ht="15.75" customHeight="1" x14ac:dyDescent="0.25">
      <c r="A227" s="390">
        <v>43375</v>
      </c>
      <c r="B227" s="368" t="s">
        <v>174</v>
      </c>
      <c r="C227" s="178" t="s">
        <v>31</v>
      </c>
      <c r="D227" s="178" t="s">
        <v>30</v>
      </c>
      <c r="E227" s="178" t="s">
        <v>81</v>
      </c>
      <c r="F227" s="178">
        <v>81</v>
      </c>
      <c r="G227" s="178">
        <v>180</v>
      </c>
      <c r="H227" s="511"/>
      <c r="I227" s="178">
        <v>1745</v>
      </c>
      <c r="J227" s="179"/>
      <c r="K227" s="281" t="s">
        <v>396</v>
      </c>
      <c r="L227" s="282" t="s">
        <v>395</v>
      </c>
      <c r="M227" s="510"/>
      <c r="N227" s="236"/>
      <c r="O227" s="121"/>
      <c r="P227" s="121"/>
      <c r="Q227" s="121"/>
      <c r="R227" s="121"/>
      <c r="S227" s="121"/>
      <c r="T227" s="121"/>
      <c r="U227" s="121"/>
      <c r="V227" s="121"/>
      <c r="W227" s="121"/>
      <c r="X227" s="121"/>
      <c r="Y227" s="121"/>
      <c r="Z227" s="121"/>
      <c r="AA227" s="121"/>
      <c r="AB227" s="121"/>
      <c r="AC227" s="121"/>
      <c r="AD227" s="121"/>
      <c r="AE227" s="121"/>
      <c r="AF227" s="121"/>
      <c r="AG227" s="121"/>
      <c r="AH227" s="121"/>
      <c r="AI227" s="121"/>
      <c r="AJ227" s="121"/>
      <c r="AK227" s="121"/>
      <c r="AL227" s="121"/>
      <c r="AM227" s="121"/>
      <c r="AN227" s="121"/>
      <c r="AO227" s="121"/>
      <c r="AP227" s="121"/>
      <c r="AQ227" s="121"/>
      <c r="AR227" s="121"/>
      <c r="AS227" s="121"/>
      <c r="AT227" s="121"/>
      <c r="AU227" s="121"/>
      <c r="AV227" s="121"/>
      <c r="AW227" s="121"/>
      <c r="AX227" s="121"/>
      <c r="AY227" s="121"/>
      <c r="AZ227" s="121"/>
      <c r="BA227" s="121"/>
      <c r="BB227" s="121"/>
      <c r="BC227" s="121"/>
      <c r="BD227" s="121"/>
      <c r="BE227" s="121"/>
      <c r="BF227" s="121"/>
      <c r="BG227" s="121"/>
      <c r="BH227" s="121"/>
      <c r="BI227" s="121"/>
      <c r="BJ227" s="121"/>
      <c r="BK227" s="121"/>
      <c r="BL227" s="121"/>
      <c r="BM227" s="121"/>
      <c r="BN227" s="121"/>
      <c r="BO227" s="121"/>
      <c r="BP227" s="121"/>
      <c r="BQ227" s="121"/>
      <c r="BR227" s="121"/>
      <c r="BS227" s="121"/>
      <c r="BT227" s="121"/>
      <c r="BU227" s="121"/>
      <c r="BV227" s="121"/>
      <c r="BW227" s="121"/>
      <c r="BX227" s="121"/>
      <c r="BY227" s="121"/>
      <c r="BZ227" s="121"/>
      <c r="CA227" s="121"/>
      <c r="CB227" s="121"/>
      <c r="CC227" s="121"/>
      <c r="CD227" s="121"/>
      <c r="CE227" s="121"/>
      <c r="CF227" s="121"/>
      <c r="CG227" s="121"/>
      <c r="CH227" s="121"/>
      <c r="CI227" s="121"/>
      <c r="CJ227" s="121"/>
      <c r="CK227" s="121"/>
      <c r="CL227" s="121"/>
      <c r="CM227" s="121"/>
      <c r="CN227" s="121"/>
      <c r="CO227" s="121"/>
      <c r="CP227" s="121"/>
      <c r="CQ227" s="121"/>
      <c r="CR227" s="121"/>
      <c r="CS227" s="121"/>
      <c r="CT227" s="121"/>
      <c r="CU227" s="121"/>
      <c r="CV227" s="121"/>
      <c r="CW227" s="121"/>
      <c r="CX227" s="121"/>
      <c r="CY227" s="121"/>
      <c r="CZ227" s="121"/>
      <c r="DA227" s="121"/>
      <c r="DB227" s="121"/>
      <c r="DC227" s="121"/>
      <c r="DD227" s="121"/>
      <c r="DE227" s="121"/>
      <c r="DF227" s="121"/>
      <c r="DG227" s="121"/>
      <c r="DH227" s="121"/>
      <c r="DI227" s="121"/>
      <c r="DJ227" s="121"/>
      <c r="DK227" s="121"/>
      <c r="DL227" s="121"/>
      <c r="DM227" s="121"/>
      <c r="DN227" s="121"/>
      <c r="DO227" s="121"/>
      <c r="DP227" s="121"/>
      <c r="DQ227" s="121"/>
      <c r="DR227" s="121"/>
      <c r="DS227" s="121"/>
      <c r="DT227" s="121"/>
      <c r="DU227" s="121"/>
      <c r="DV227" s="121"/>
      <c r="DW227" s="121"/>
      <c r="DX227" s="121"/>
      <c r="DY227" s="121"/>
      <c r="DZ227" s="121"/>
      <c r="EA227" s="121"/>
      <c r="EB227" s="121"/>
      <c r="EC227" s="121"/>
      <c r="ED227" s="121"/>
      <c r="EE227" s="121"/>
      <c r="EF227" s="121"/>
      <c r="EG227" s="121"/>
      <c r="EH227" s="121"/>
      <c r="EI227" s="121"/>
      <c r="EJ227" s="121"/>
      <c r="EK227" s="121"/>
      <c r="EL227" s="121"/>
      <c r="EM227" s="121"/>
      <c r="EN227" s="121"/>
      <c r="EO227" s="121"/>
      <c r="EP227" s="121"/>
      <c r="EQ227" s="121"/>
      <c r="ER227" s="121"/>
      <c r="ES227" s="121"/>
      <c r="ET227" s="121"/>
      <c r="EU227" s="121"/>
      <c r="EV227" s="121"/>
      <c r="EW227" s="121"/>
      <c r="EX227" s="121"/>
      <c r="EY227" s="121"/>
      <c r="EZ227" s="121"/>
      <c r="FA227" s="121"/>
      <c r="FB227" s="121"/>
      <c r="FC227" s="121"/>
      <c r="FD227" s="121"/>
      <c r="FE227" s="121"/>
      <c r="FF227" s="121"/>
      <c r="FG227" s="121"/>
      <c r="FH227" s="121"/>
      <c r="FI227" s="121"/>
      <c r="FJ227" s="121"/>
      <c r="FK227" s="121"/>
      <c r="FL227" s="121"/>
      <c r="FM227" s="121"/>
      <c r="FN227" s="121"/>
      <c r="FO227" s="121"/>
      <c r="FP227" s="121"/>
      <c r="FQ227" s="121"/>
      <c r="FR227" s="121"/>
      <c r="FS227" s="121"/>
      <c r="FT227" s="121"/>
      <c r="FU227" s="121"/>
      <c r="FV227" s="121"/>
      <c r="FW227" s="121"/>
      <c r="FX227" s="121"/>
      <c r="FY227" s="121"/>
      <c r="FZ227" s="121"/>
      <c r="GA227" s="121"/>
      <c r="GB227" s="121"/>
      <c r="GC227" s="121"/>
      <c r="GD227" s="121"/>
      <c r="GE227" s="121"/>
      <c r="GF227" s="121"/>
      <c r="GG227" s="121"/>
      <c r="GH227" s="121"/>
      <c r="GI227" s="121"/>
      <c r="GJ227" s="121"/>
      <c r="GK227" s="121"/>
      <c r="GL227" s="121"/>
      <c r="GM227" s="121"/>
      <c r="GN227" s="121"/>
      <c r="GO227" s="121"/>
      <c r="GP227" s="121"/>
      <c r="GQ227" s="121"/>
      <c r="GR227" s="121"/>
      <c r="GS227" s="121"/>
      <c r="GT227" s="121"/>
      <c r="GU227" s="121"/>
      <c r="GV227" s="121"/>
      <c r="GW227" s="121"/>
      <c r="GX227" s="121"/>
      <c r="GY227" s="121"/>
      <c r="GZ227" s="121"/>
      <c r="HA227" s="121"/>
      <c r="HB227" s="121"/>
      <c r="HC227" s="121"/>
      <c r="HD227" s="121"/>
      <c r="HE227" s="121"/>
      <c r="HF227" s="121"/>
      <c r="HG227" s="121"/>
      <c r="HH227" s="121"/>
      <c r="HI227" s="121"/>
      <c r="HJ227" s="121"/>
      <c r="HK227" s="121"/>
      <c r="HL227" s="121"/>
      <c r="HM227" s="121"/>
      <c r="HN227" s="121"/>
      <c r="HO227" s="121"/>
      <c r="HP227" s="121"/>
      <c r="HQ227" s="121"/>
      <c r="HR227" s="121"/>
      <c r="HS227" s="121"/>
      <c r="HT227" s="121"/>
      <c r="HU227" s="121"/>
      <c r="HV227" s="121"/>
      <c r="HW227" s="121"/>
      <c r="HX227" s="121"/>
      <c r="HY227" s="121"/>
      <c r="HZ227" s="121"/>
      <c r="IA227" s="121"/>
      <c r="IB227" s="121"/>
      <c r="IC227" s="121"/>
      <c r="ID227" s="121"/>
      <c r="IE227" s="121"/>
      <c r="IF227" s="121"/>
      <c r="IG227" s="121"/>
      <c r="IH227" s="121"/>
      <c r="II227" s="121"/>
      <c r="IJ227" s="121"/>
      <c r="IK227" s="121"/>
      <c r="IL227" s="121"/>
      <c r="IM227" s="121"/>
      <c r="IN227" s="121"/>
      <c r="IO227" s="121"/>
      <c r="IP227" s="121"/>
      <c r="IQ227" s="121"/>
      <c r="IR227" s="121"/>
      <c r="IS227" s="121"/>
      <c r="IT227" s="121"/>
      <c r="IU227" s="121"/>
      <c r="IV227" s="121"/>
      <c r="IW227" s="121"/>
      <c r="IX227" s="121"/>
      <c r="IY227" s="121"/>
      <c r="IZ227" s="121"/>
      <c r="JA227" s="121"/>
      <c r="JB227" s="121"/>
      <c r="JC227" s="121"/>
      <c r="JD227" s="121"/>
      <c r="JE227" s="121"/>
      <c r="JF227" s="121"/>
      <c r="JG227" s="121"/>
      <c r="JH227" s="121"/>
      <c r="JI227" s="121"/>
      <c r="JJ227" s="121"/>
      <c r="JK227" s="121"/>
      <c r="JL227" s="121"/>
      <c r="JM227" s="121"/>
      <c r="JN227" s="121"/>
      <c r="JO227" s="121"/>
      <c r="JP227" s="121"/>
      <c r="JQ227" s="121"/>
      <c r="JR227" s="121"/>
      <c r="JS227" s="121"/>
      <c r="JT227" s="121"/>
      <c r="JU227" s="121"/>
      <c r="JV227" s="121"/>
      <c r="JW227" s="121"/>
      <c r="JX227" s="121"/>
      <c r="JY227" s="121"/>
      <c r="JZ227" s="121"/>
      <c r="KA227" s="121"/>
      <c r="KB227" s="121"/>
      <c r="KC227" s="121"/>
      <c r="KD227" s="121"/>
      <c r="KE227" s="121"/>
      <c r="KF227" s="121"/>
      <c r="KG227" s="121"/>
      <c r="KH227" s="121"/>
      <c r="KI227" s="121"/>
      <c r="KJ227" s="121"/>
      <c r="KK227" s="121"/>
      <c r="KL227" s="121"/>
      <c r="KM227" s="121"/>
      <c r="KN227" s="121"/>
      <c r="KO227" s="121"/>
      <c r="KP227" s="121"/>
      <c r="KQ227" s="121"/>
      <c r="KR227" s="121"/>
      <c r="KS227" s="121"/>
      <c r="KT227" s="121"/>
      <c r="KU227" s="121"/>
      <c r="KV227" s="121"/>
      <c r="KW227" s="121"/>
      <c r="KX227" s="121"/>
      <c r="KY227" s="121"/>
      <c r="KZ227" s="121"/>
      <c r="LA227" s="121"/>
      <c r="LB227" s="121"/>
      <c r="LC227" s="121"/>
      <c r="LD227" s="121"/>
      <c r="LE227" s="121"/>
      <c r="LF227" s="121"/>
      <c r="LG227" s="121"/>
      <c r="LH227" s="121"/>
      <c r="LI227" s="121"/>
      <c r="LJ227" s="121"/>
      <c r="LK227" s="121"/>
      <c r="LL227" s="121"/>
      <c r="LM227" s="121"/>
      <c r="LN227" s="121"/>
      <c r="LO227" s="121"/>
      <c r="LP227" s="121"/>
      <c r="LQ227" s="121"/>
      <c r="LR227" s="121"/>
      <c r="LS227" s="121"/>
      <c r="LT227" s="121"/>
      <c r="LU227" s="121"/>
      <c r="LV227" s="121"/>
      <c r="LW227" s="121"/>
      <c r="LX227" s="121"/>
      <c r="LY227" s="121"/>
      <c r="LZ227" s="121"/>
      <c r="MA227" s="121"/>
      <c r="MB227" s="121"/>
      <c r="MC227" s="121"/>
      <c r="MD227" s="121"/>
      <c r="ME227" s="121"/>
      <c r="MF227" s="121"/>
      <c r="MG227" s="121"/>
      <c r="MH227" s="121"/>
      <c r="MI227" s="121"/>
      <c r="MJ227" s="121"/>
      <c r="MK227" s="121"/>
      <c r="ML227" s="121"/>
      <c r="MM227" s="121"/>
      <c r="MN227" s="121"/>
      <c r="MO227" s="121"/>
      <c r="MP227" s="121"/>
      <c r="MQ227" s="121"/>
      <c r="MR227" s="121"/>
      <c r="MS227" s="121"/>
      <c r="MT227" s="121"/>
      <c r="MU227" s="121"/>
      <c r="MV227" s="121"/>
      <c r="MW227" s="121"/>
      <c r="MX227" s="121"/>
      <c r="MY227" s="121"/>
      <c r="MZ227" s="121"/>
      <c r="NA227" s="121"/>
      <c r="NB227" s="121"/>
      <c r="NC227" s="121"/>
      <c r="ND227" s="121"/>
      <c r="NE227" s="121"/>
      <c r="NF227" s="121"/>
      <c r="NG227" s="121"/>
      <c r="NH227" s="121"/>
      <c r="NI227" s="121"/>
      <c r="NJ227" s="121"/>
      <c r="NK227" s="121"/>
      <c r="NL227" s="121"/>
      <c r="NM227" s="121"/>
      <c r="NN227" s="121"/>
      <c r="NO227" s="121"/>
      <c r="NP227" s="121"/>
      <c r="NQ227" s="121"/>
      <c r="NR227" s="121"/>
      <c r="NS227" s="121"/>
      <c r="NT227" s="121"/>
      <c r="NU227" s="121"/>
      <c r="NV227" s="121"/>
      <c r="NW227" s="121"/>
      <c r="NX227" s="121"/>
      <c r="NY227" s="121"/>
      <c r="NZ227" s="121"/>
      <c r="OA227" s="121"/>
      <c r="OB227" s="121"/>
      <c r="OC227" s="121"/>
      <c r="OD227" s="121"/>
      <c r="OE227" s="121"/>
      <c r="OF227" s="121"/>
      <c r="OG227" s="121"/>
      <c r="OH227" s="121"/>
      <c r="OI227" s="121"/>
      <c r="OJ227" s="121"/>
      <c r="OK227" s="121"/>
      <c r="OL227" s="121"/>
      <c r="OM227" s="121"/>
      <c r="ON227" s="121"/>
      <c r="OO227" s="121"/>
      <c r="OP227" s="121"/>
      <c r="OQ227" s="121"/>
      <c r="OR227" s="121"/>
      <c r="OS227" s="121"/>
      <c r="OT227" s="121"/>
      <c r="OU227" s="121"/>
      <c r="OV227" s="121"/>
      <c r="OW227" s="121"/>
      <c r="OX227" s="121"/>
      <c r="OY227" s="121"/>
      <c r="OZ227" s="121"/>
      <c r="PA227" s="121"/>
      <c r="PB227" s="121"/>
      <c r="PC227" s="121"/>
      <c r="PD227" s="121"/>
      <c r="PE227" s="121"/>
      <c r="PF227" s="121"/>
      <c r="PG227" s="121"/>
      <c r="PH227" s="121"/>
      <c r="PI227" s="121"/>
      <c r="PJ227" s="121"/>
      <c r="PK227" s="121"/>
      <c r="PL227" s="121"/>
      <c r="PM227" s="121"/>
      <c r="PN227" s="121"/>
      <c r="PO227" s="121"/>
      <c r="PP227" s="121"/>
      <c r="PQ227" s="121"/>
      <c r="PR227" s="121"/>
      <c r="PS227" s="121"/>
      <c r="PT227" s="121"/>
      <c r="PU227" s="121"/>
      <c r="PV227" s="121"/>
      <c r="PW227" s="121"/>
      <c r="PX227" s="121"/>
      <c r="PY227" s="121"/>
      <c r="PZ227" s="121"/>
      <c r="QA227" s="121"/>
      <c r="QB227" s="121"/>
      <c r="QC227" s="121"/>
      <c r="QD227" s="121"/>
      <c r="QE227" s="121"/>
      <c r="QF227" s="121"/>
      <c r="QG227" s="121"/>
      <c r="QH227" s="121"/>
      <c r="QI227" s="121"/>
      <c r="QJ227" s="121"/>
      <c r="QK227" s="121"/>
      <c r="QL227" s="121"/>
      <c r="QM227" s="121"/>
      <c r="QN227" s="121"/>
      <c r="QO227" s="121"/>
      <c r="QP227" s="121"/>
      <c r="QQ227" s="121"/>
      <c r="QR227" s="121"/>
      <c r="QS227" s="121"/>
      <c r="QT227" s="121"/>
      <c r="QU227" s="121"/>
      <c r="QV227" s="121"/>
      <c r="QW227" s="121"/>
      <c r="QX227" s="121"/>
      <c r="QY227" s="121"/>
      <c r="QZ227" s="121"/>
      <c r="RA227" s="121"/>
      <c r="RB227" s="121"/>
      <c r="RC227" s="121"/>
      <c r="RD227" s="121"/>
      <c r="RE227" s="121"/>
      <c r="RF227" s="121"/>
      <c r="RG227" s="121"/>
      <c r="RH227" s="121"/>
      <c r="RI227" s="121"/>
      <c r="RJ227" s="121"/>
      <c r="RK227" s="121"/>
      <c r="RL227" s="121"/>
      <c r="RM227" s="121"/>
      <c r="RN227" s="121"/>
      <c r="RO227" s="121"/>
      <c r="RP227" s="121"/>
      <c r="RQ227" s="121"/>
      <c r="RR227" s="121"/>
      <c r="RS227" s="121"/>
      <c r="RT227" s="121"/>
      <c r="RU227" s="121"/>
      <c r="RV227" s="121"/>
      <c r="RW227" s="121"/>
      <c r="RX227" s="121"/>
      <c r="RY227" s="121"/>
      <c r="RZ227" s="121"/>
      <c r="SA227" s="121"/>
      <c r="SB227" s="121"/>
      <c r="SC227" s="121"/>
      <c r="SD227" s="121"/>
      <c r="SE227" s="121"/>
      <c r="SF227" s="121"/>
      <c r="SG227" s="121"/>
      <c r="SH227" s="121"/>
      <c r="SI227" s="121"/>
      <c r="SJ227" s="121"/>
      <c r="SK227" s="121"/>
      <c r="SL227" s="121"/>
      <c r="SM227" s="121"/>
      <c r="SN227" s="121"/>
      <c r="SO227" s="121"/>
      <c r="SP227" s="121"/>
      <c r="SQ227" s="121"/>
      <c r="SR227" s="121"/>
      <c r="SS227" s="121"/>
      <c r="ST227" s="121"/>
      <c r="SU227" s="121"/>
      <c r="SV227" s="121"/>
      <c r="SW227" s="121"/>
      <c r="SX227" s="121"/>
      <c r="SY227" s="121"/>
      <c r="SZ227" s="121"/>
      <c r="TA227" s="121"/>
      <c r="TB227" s="121"/>
      <c r="TC227" s="121"/>
      <c r="TD227" s="121"/>
      <c r="TE227" s="121"/>
      <c r="TF227" s="121"/>
      <c r="TG227" s="121"/>
      <c r="TH227" s="121"/>
      <c r="TI227" s="121"/>
      <c r="TJ227" s="121"/>
      <c r="TK227" s="121"/>
      <c r="TL227" s="121"/>
      <c r="TM227" s="121"/>
      <c r="TN227" s="121"/>
      <c r="TO227" s="121"/>
      <c r="TP227" s="121"/>
      <c r="TQ227" s="121"/>
      <c r="TR227" s="121"/>
      <c r="TS227" s="121"/>
      <c r="TT227" s="121"/>
      <c r="TU227" s="121"/>
      <c r="TV227" s="121"/>
      <c r="TW227" s="121"/>
      <c r="TX227" s="121"/>
      <c r="TY227" s="121"/>
      <c r="TZ227" s="121"/>
      <c r="UA227" s="121"/>
      <c r="UB227" s="121"/>
      <c r="UC227" s="121"/>
      <c r="UD227" s="121"/>
      <c r="UE227" s="121"/>
      <c r="UF227" s="121"/>
      <c r="UG227" s="121"/>
      <c r="UH227" s="121"/>
      <c r="UI227" s="121"/>
      <c r="UJ227" s="121"/>
      <c r="UK227" s="121"/>
      <c r="UL227" s="121"/>
      <c r="UM227" s="121"/>
      <c r="UN227" s="121"/>
      <c r="UO227" s="121"/>
      <c r="UP227" s="121"/>
      <c r="UQ227" s="121"/>
      <c r="UR227" s="121"/>
      <c r="US227" s="121"/>
      <c r="UT227" s="121"/>
      <c r="UU227" s="121"/>
      <c r="UV227" s="121"/>
      <c r="UW227" s="121"/>
      <c r="UX227" s="121"/>
      <c r="UY227" s="121"/>
      <c r="UZ227" s="121"/>
      <c r="VA227" s="121"/>
      <c r="VB227" s="121"/>
      <c r="VC227" s="121"/>
      <c r="VD227" s="121"/>
      <c r="VE227" s="121"/>
      <c r="VF227" s="121"/>
      <c r="VG227" s="121"/>
      <c r="VH227" s="121"/>
      <c r="VI227" s="121"/>
      <c r="VJ227" s="121"/>
      <c r="VK227" s="121"/>
      <c r="VL227" s="121"/>
      <c r="VM227" s="121"/>
      <c r="VN227" s="121"/>
      <c r="VO227" s="121"/>
      <c r="VP227" s="121"/>
      <c r="VQ227" s="121"/>
      <c r="VR227" s="121"/>
      <c r="VS227" s="121"/>
      <c r="VT227" s="121"/>
      <c r="VU227" s="121"/>
      <c r="VV227" s="121"/>
      <c r="VW227" s="121"/>
      <c r="VX227" s="121"/>
      <c r="VY227" s="121"/>
      <c r="VZ227" s="121"/>
      <c r="WA227" s="121"/>
      <c r="WB227" s="121"/>
      <c r="WC227" s="121"/>
      <c r="WD227" s="121"/>
      <c r="WE227" s="121"/>
      <c r="WF227" s="121"/>
      <c r="WG227" s="121"/>
      <c r="WH227" s="121"/>
      <c r="WI227" s="121"/>
      <c r="WJ227" s="121"/>
      <c r="WK227" s="121"/>
      <c r="WL227" s="121"/>
      <c r="WM227" s="121"/>
      <c r="WN227" s="121"/>
      <c r="WO227" s="121"/>
      <c r="WP227" s="121"/>
      <c r="WQ227" s="121"/>
      <c r="WR227" s="121"/>
      <c r="WS227" s="121"/>
      <c r="WT227" s="121"/>
      <c r="WU227" s="121"/>
      <c r="WV227" s="121"/>
      <c r="WW227" s="121"/>
      <c r="WX227" s="121"/>
      <c r="WY227" s="121"/>
      <c r="WZ227" s="121"/>
      <c r="XA227" s="121"/>
      <c r="XB227" s="121"/>
      <c r="XC227" s="121"/>
      <c r="XD227" s="121"/>
      <c r="XE227" s="121"/>
      <c r="XF227" s="121"/>
      <c r="XG227" s="121"/>
      <c r="XH227" s="121"/>
      <c r="XI227" s="121"/>
      <c r="XJ227" s="121"/>
      <c r="XK227" s="121"/>
      <c r="XL227" s="121"/>
      <c r="XM227" s="121"/>
      <c r="XN227" s="121"/>
      <c r="XO227" s="121"/>
      <c r="XP227" s="121"/>
      <c r="XQ227" s="121"/>
      <c r="XR227" s="121"/>
      <c r="XS227" s="121"/>
      <c r="XT227" s="121"/>
      <c r="XU227" s="121"/>
      <c r="XV227" s="121"/>
      <c r="XW227" s="121"/>
      <c r="XX227" s="121"/>
      <c r="XY227" s="121"/>
      <c r="XZ227" s="121"/>
      <c r="YA227" s="121"/>
      <c r="YB227" s="121"/>
      <c r="YC227" s="121"/>
      <c r="YD227" s="121"/>
      <c r="YE227" s="121"/>
      <c r="YF227" s="121"/>
      <c r="YG227" s="121"/>
      <c r="YH227" s="121"/>
      <c r="YI227" s="121"/>
      <c r="YJ227" s="121"/>
      <c r="YK227" s="121"/>
      <c r="YL227" s="121"/>
      <c r="YM227" s="121"/>
      <c r="YN227" s="121"/>
      <c r="YO227" s="121"/>
      <c r="YP227" s="121"/>
      <c r="YQ227" s="121"/>
      <c r="YR227" s="121"/>
      <c r="YS227" s="121"/>
      <c r="YT227" s="121"/>
      <c r="YU227" s="121"/>
      <c r="YV227" s="121"/>
      <c r="YW227" s="121"/>
      <c r="YX227" s="121"/>
      <c r="YY227" s="121"/>
      <c r="YZ227" s="121"/>
      <c r="ZA227" s="121"/>
      <c r="ZB227" s="121"/>
      <c r="ZC227" s="121"/>
      <c r="ZD227" s="121"/>
      <c r="ZE227" s="121"/>
      <c r="ZF227" s="121"/>
      <c r="ZG227" s="121"/>
      <c r="ZH227" s="121"/>
      <c r="ZI227" s="121"/>
      <c r="ZJ227" s="121"/>
      <c r="ZK227" s="121"/>
      <c r="ZL227" s="121"/>
      <c r="ZM227" s="121"/>
      <c r="ZN227" s="121"/>
      <c r="ZO227" s="121"/>
      <c r="ZP227" s="121"/>
      <c r="ZQ227" s="121"/>
      <c r="ZR227" s="121"/>
      <c r="ZS227" s="121"/>
      <c r="ZT227" s="121"/>
      <c r="ZU227" s="121"/>
      <c r="ZV227" s="121"/>
      <c r="ZW227" s="121"/>
      <c r="ZX227" s="121"/>
      <c r="ZY227" s="121"/>
      <c r="ZZ227" s="121"/>
      <c r="AAA227" s="121"/>
      <c r="AAB227" s="121"/>
      <c r="AAC227" s="121"/>
      <c r="AAD227" s="121"/>
      <c r="AAE227" s="121"/>
      <c r="AAF227" s="121"/>
      <c r="AAG227" s="121"/>
      <c r="AAH227" s="121"/>
      <c r="AAI227" s="121"/>
      <c r="AAJ227" s="121"/>
      <c r="AAK227" s="121"/>
      <c r="AAL227" s="121"/>
      <c r="AAM227" s="121"/>
      <c r="AAN227" s="121"/>
      <c r="AAO227" s="121"/>
      <c r="AAP227" s="121"/>
      <c r="AAQ227" s="121"/>
      <c r="AAR227" s="121"/>
      <c r="AAS227" s="121"/>
      <c r="AAT227" s="121"/>
      <c r="AAU227" s="121"/>
      <c r="AAV227" s="121"/>
      <c r="AAW227" s="121"/>
      <c r="AAX227" s="121"/>
      <c r="AAY227" s="121"/>
      <c r="AAZ227" s="121"/>
      <c r="ABA227" s="121"/>
      <c r="ABB227" s="121"/>
      <c r="ABC227" s="121"/>
      <c r="ABD227" s="121"/>
      <c r="ABE227" s="121"/>
      <c r="ABF227" s="121"/>
      <c r="ABG227" s="121"/>
      <c r="ABH227" s="121"/>
      <c r="ABI227" s="121"/>
      <c r="ABJ227" s="121"/>
      <c r="ABK227" s="121"/>
      <c r="ABL227" s="121"/>
      <c r="ABM227" s="121"/>
      <c r="ABN227" s="121"/>
      <c r="ABO227" s="121"/>
      <c r="ABP227" s="121"/>
      <c r="ABQ227" s="121"/>
      <c r="ABR227" s="121"/>
      <c r="ABS227" s="121"/>
      <c r="ABT227" s="121"/>
      <c r="ABU227" s="121"/>
      <c r="ABV227" s="121"/>
      <c r="ABW227" s="121"/>
      <c r="ABX227" s="121"/>
      <c r="ABY227" s="121"/>
      <c r="ABZ227" s="121"/>
      <c r="ACA227" s="121"/>
      <c r="ACB227" s="121"/>
      <c r="ACC227" s="121"/>
      <c r="ACD227" s="121"/>
      <c r="ACE227" s="121"/>
      <c r="ACF227" s="121"/>
      <c r="ACG227" s="121"/>
      <c r="ACH227" s="121"/>
      <c r="ACI227" s="121"/>
      <c r="ACJ227" s="121"/>
      <c r="ACK227" s="121"/>
      <c r="ACL227" s="121"/>
      <c r="ACM227" s="121"/>
      <c r="ACN227" s="121"/>
      <c r="ACO227" s="121"/>
      <c r="ACP227" s="121"/>
      <c r="ACQ227" s="121"/>
      <c r="ACR227" s="121"/>
      <c r="ACS227" s="121"/>
      <c r="ACT227" s="121"/>
      <c r="ACU227" s="121"/>
      <c r="ACV227" s="121"/>
      <c r="ACW227" s="121"/>
      <c r="ACX227" s="121"/>
      <c r="ACY227" s="121"/>
      <c r="ACZ227" s="121"/>
      <c r="ADA227" s="121"/>
      <c r="ADB227" s="121"/>
      <c r="ADC227" s="121"/>
      <c r="ADD227" s="121"/>
      <c r="ADE227" s="121"/>
      <c r="ADF227" s="121"/>
      <c r="ADG227" s="121"/>
      <c r="ADH227" s="121"/>
      <c r="ADI227" s="121"/>
      <c r="ADJ227" s="121"/>
      <c r="ADK227" s="121"/>
      <c r="ADL227" s="121"/>
      <c r="ADM227" s="121"/>
      <c r="ADN227" s="121"/>
      <c r="ADO227" s="121"/>
      <c r="ADP227" s="121"/>
      <c r="ADQ227" s="121"/>
      <c r="ADR227" s="121"/>
      <c r="ADS227" s="121"/>
      <c r="ADT227" s="121"/>
      <c r="ADU227" s="121"/>
      <c r="ADV227" s="121"/>
      <c r="ADW227" s="121"/>
      <c r="ADX227" s="121"/>
      <c r="ADY227" s="121"/>
      <c r="ADZ227" s="121"/>
      <c r="AEA227" s="121"/>
      <c r="AEB227" s="121"/>
      <c r="AEC227" s="121"/>
      <c r="AED227" s="121"/>
      <c r="AEE227" s="121"/>
      <c r="AEF227" s="121"/>
      <c r="AEG227" s="121"/>
      <c r="AEH227" s="121"/>
      <c r="AEI227" s="121"/>
      <c r="AEJ227" s="121"/>
      <c r="AEK227" s="121"/>
      <c r="AEL227" s="121"/>
      <c r="AEM227" s="121"/>
      <c r="AEN227" s="121"/>
      <c r="AEO227" s="121"/>
      <c r="AEP227" s="121"/>
      <c r="AEQ227" s="121"/>
      <c r="AER227" s="121"/>
      <c r="AES227" s="121"/>
      <c r="AET227" s="121"/>
      <c r="AEU227" s="121"/>
      <c r="AEV227" s="121"/>
      <c r="AEW227" s="121"/>
      <c r="AEX227" s="121"/>
      <c r="AEY227" s="121"/>
      <c r="AEZ227" s="121"/>
      <c r="AFA227" s="121"/>
      <c r="AFB227" s="121"/>
      <c r="AFC227" s="121"/>
      <c r="AFD227" s="121"/>
      <c r="AFE227" s="121"/>
      <c r="AFF227" s="121"/>
      <c r="AFG227" s="121"/>
      <c r="AFH227" s="121"/>
      <c r="AFI227" s="121"/>
      <c r="AFJ227" s="121"/>
      <c r="AFK227" s="121"/>
      <c r="AFL227" s="121"/>
      <c r="AFM227" s="121"/>
      <c r="AFN227" s="121"/>
      <c r="AFO227" s="121"/>
      <c r="AFP227" s="121"/>
      <c r="AFQ227" s="121"/>
      <c r="AFR227" s="121"/>
      <c r="AFS227" s="121"/>
      <c r="AFT227" s="121"/>
      <c r="AFU227" s="121"/>
      <c r="AFV227" s="121"/>
      <c r="AFW227" s="121"/>
      <c r="AFX227" s="121"/>
      <c r="AFY227" s="121"/>
      <c r="AFZ227" s="121"/>
      <c r="AGA227" s="121"/>
      <c r="AGB227" s="121"/>
      <c r="AGC227" s="121"/>
      <c r="AGD227" s="121"/>
      <c r="AGE227" s="121"/>
    </row>
    <row r="228" spans="1:863" s="180" customFormat="1" ht="15.75" customHeight="1" x14ac:dyDescent="0.25">
      <c r="A228" s="390">
        <v>43375</v>
      </c>
      <c r="B228" s="368" t="s">
        <v>174</v>
      </c>
      <c r="C228" s="178" t="s">
        <v>31</v>
      </c>
      <c r="D228" s="178" t="s">
        <v>30</v>
      </c>
      <c r="E228" s="178" t="s">
        <v>81</v>
      </c>
      <c r="F228" s="178">
        <v>87</v>
      </c>
      <c r="G228" s="178">
        <v>72</v>
      </c>
      <c r="H228" s="505"/>
      <c r="I228" s="178">
        <v>698</v>
      </c>
      <c r="J228" s="179"/>
      <c r="K228" s="281" t="s">
        <v>396</v>
      </c>
      <c r="L228" s="282" t="s">
        <v>395</v>
      </c>
      <c r="M228" s="510"/>
      <c r="N228" s="226"/>
      <c r="O228" s="121"/>
      <c r="P228" s="121"/>
      <c r="Q228" s="121"/>
      <c r="R228" s="121"/>
      <c r="S228" s="121"/>
      <c r="T228" s="121"/>
      <c r="U228" s="121"/>
      <c r="V228" s="121"/>
      <c r="W228" s="121"/>
      <c r="X228" s="121"/>
      <c r="Y228" s="121"/>
      <c r="Z228" s="121"/>
      <c r="AA228" s="121"/>
      <c r="AB228" s="121"/>
      <c r="AC228" s="121"/>
      <c r="AD228" s="121"/>
      <c r="AE228" s="121"/>
      <c r="AF228" s="121"/>
      <c r="AG228" s="121"/>
      <c r="AH228" s="121"/>
      <c r="AI228" s="121"/>
      <c r="AJ228" s="121"/>
      <c r="AK228" s="121"/>
      <c r="AL228" s="121"/>
      <c r="AM228" s="121"/>
      <c r="AN228" s="121"/>
      <c r="AO228" s="121"/>
      <c r="AP228" s="121"/>
      <c r="AQ228" s="121"/>
      <c r="AR228" s="121"/>
      <c r="AS228" s="121"/>
      <c r="AT228" s="121"/>
      <c r="AU228" s="121"/>
      <c r="AV228" s="121"/>
      <c r="AW228" s="121"/>
      <c r="AX228" s="121"/>
      <c r="AY228" s="121"/>
      <c r="AZ228" s="121"/>
      <c r="BA228" s="121"/>
      <c r="BB228" s="121"/>
      <c r="BC228" s="121"/>
      <c r="BD228" s="121"/>
      <c r="BE228" s="121"/>
      <c r="BF228" s="121"/>
      <c r="BG228" s="121"/>
      <c r="BH228" s="121"/>
      <c r="BI228" s="121"/>
      <c r="BJ228" s="121"/>
      <c r="BK228" s="121"/>
      <c r="BL228" s="121"/>
      <c r="BM228" s="121"/>
      <c r="BN228" s="121"/>
      <c r="BO228" s="121"/>
      <c r="BP228" s="121"/>
      <c r="BQ228" s="121"/>
      <c r="BR228" s="121"/>
      <c r="BS228" s="121"/>
      <c r="BT228" s="121"/>
      <c r="BU228" s="121"/>
      <c r="BV228" s="121"/>
      <c r="BW228" s="121"/>
      <c r="BX228" s="121"/>
      <c r="BY228" s="121"/>
      <c r="BZ228" s="121"/>
      <c r="CA228" s="121"/>
      <c r="CB228" s="121"/>
      <c r="CC228" s="121"/>
      <c r="CD228" s="121"/>
      <c r="CE228" s="121"/>
      <c r="CF228" s="121"/>
      <c r="CG228" s="121"/>
      <c r="CH228" s="121"/>
      <c r="CI228" s="121"/>
      <c r="CJ228" s="121"/>
      <c r="CK228" s="121"/>
      <c r="CL228" s="121"/>
      <c r="CM228" s="121"/>
      <c r="CN228" s="121"/>
      <c r="CO228" s="121"/>
      <c r="CP228" s="121"/>
      <c r="CQ228" s="121"/>
      <c r="CR228" s="121"/>
      <c r="CS228" s="121"/>
      <c r="CT228" s="121"/>
      <c r="CU228" s="121"/>
      <c r="CV228" s="121"/>
      <c r="CW228" s="121"/>
      <c r="CX228" s="121"/>
      <c r="CY228" s="121"/>
      <c r="CZ228" s="121"/>
      <c r="DA228" s="121"/>
      <c r="DB228" s="121"/>
      <c r="DC228" s="121"/>
      <c r="DD228" s="121"/>
      <c r="DE228" s="121"/>
      <c r="DF228" s="121"/>
      <c r="DG228" s="121"/>
      <c r="DH228" s="121"/>
      <c r="DI228" s="121"/>
      <c r="DJ228" s="121"/>
      <c r="DK228" s="121"/>
      <c r="DL228" s="121"/>
      <c r="DM228" s="121"/>
      <c r="DN228" s="121"/>
      <c r="DO228" s="121"/>
      <c r="DP228" s="121"/>
      <c r="DQ228" s="121"/>
      <c r="DR228" s="121"/>
      <c r="DS228" s="121"/>
      <c r="DT228" s="121"/>
      <c r="DU228" s="121"/>
      <c r="DV228" s="121"/>
      <c r="DW228" s="121"/>
      <c r="DX228" s="121"/>
      <c r="DY228" s="121"/>
      <c r="DZ228" s="121"/>
      <c r="EA228" s="121"/>
      <c r="EB228" s="121"/>
      <c r="EC228" s="121"/>
      <c r="ED228" s="121"/>
      <c r="EE228" s="121"/>
      <c r="EF228" s="121"/>
      <c r="EG228" s="121"/>
      <c r="EH228" s="121"/>
      <c r="EI228" s="121"/>
      <c r="EJ228" s="121"/>
      <c r="EK228" s="121"/>
      <c r="EL228" s="121"/>
      <c r="EM228" s="121"/>
      <c r="EN228" s="121"/>
      <c r="EO228" s="121"/>
      <c r="EP228" s="121"/>
      <c r="EQ228" s="121"/>
      <c r="ER228" s="121"/>
      <c r="ES228" s="121"/>
      <c r="ET228" s="121"/>
      <c r="EU228" s="121"/>
      <c r="EV228" s="121"/>
      <c r="EW228" s="121"/>
      <c r="EX228" s="121"/>
      <c r="EY228" s="121"/>
      <c r="EZ228" s="121"/>
      <c r="FA228" s="121"/>
      <c r="FB228" s="121"/>
      <c r="FC228" s="121"/>
      <c r="FD228" s="121"/>
      <c r="FE228" s="121"/>
      <c r="FF228" s="121"/>
      <c r="FG228" s="121"/>
      <c r="FH228" s="121"/>
      <c r="FI228" s="121"/>
      <c r="FJ228" s="121"/>
      <c r="FK228" s="121"/>
      <c r="FL228" s="121"/>
      <c r="FM228" s="121"/>
      <c r="FN228" s="121"/>
      <c r="FO228" s="121"/>
      <c r="FP228" s="121"/>
      <c r="FQ228" s="121"/>
      <c r="FR228" s="121"/>
      <c r="FS228" s="121"/>
      <c r="FT228" s="121"/>
      <c r="FU228" s="121"/>
      <c r="FV228" s="121"/>
      <c r="FW228" s="121"/>
      <c r="FX228" s="121"/>
      <c r="FY228" s="121"/>
      <c r="FZ228" s="121"/>
      <c r="GA228" s="121"/>
      <c r="GB228" s="121"/>
      <c r="GC228" s="121"/>
      <c r="GD228" s="121"/>
      <c r="GE228" s="121"/>
      <c r="GF228" s="121"/>
      <c r="GG228" s="121"/>
      <c r="GH228" s="121"/>
      <c r="GI228" s="121"/>
      <c r="GJ228" s="121"/>
      <c r="GK228" s="121"/>
      <c r="GL228" s="121"/>
      <c r="GM228" s="121"/>
      <c r="GN228" s="121"/>
      <c r="GO228" s="121"/>
      <c r="GP228" s="121"/>
      <c r="GQ228" s="121"/>
      <c r="GR228" s="121"/>
      <c r="GS228" s="121"/>
      <c r="GT228" s="121"/>
      <c r="GU228" s="121"/>
      <c r="GV228" s="121"/>
      <c r="GW228" s="121"/>
      <c r="GX228" s="121"/>
      <c r="GY228" s="121"/>
      <c r="GZ228" s="121"/>
      <c r="HA228" s="121"/>
      <c r="HB228" s="121"/>
      <c r="HC228" s="121"/>
      <c r="HD228" s="121"/>
      <c r="HE228" s="121"/>
      <c r="HF228" s="121"/>
      <c r="HG228" s="121"/>
      <c r="HH228" s="121"/>
      <c r="HI228" s="121"/>
      <c r="HJ228" s="121"/>
      <c r="HK228" s="121"/>
      <c r="HL228" s="121"/>
      <c r="HM228" s="121"/>
      <c r="HN228" s="121"/>
      <c r="HO228" s="121"/>
      <c r="HP228" s="121"/>
      <c r="HQ228" s="121"/>
      <c r="HR228" s="121"/>
      <c r="HS228" s="121"/>
      <c r="HT228" s="121"/>
      <c r="HU228" s="121"/>
      <c r="HV228" s="121"/>
      <c r="HW228" s="121"/>
      <c r="HX228" s="121"/>
      <c r="HY228" s="121"/>
      <c r="HZ228" s="121"/>
      <c r="IA228" s="121"/>
      <c r="IB228" s="121"/>
      <c r="IC228" s="121"/>
      <c r="ID228" s="121"/>
      <c r="IE228" s="121"/>
      <c r="IF228" s="121"/>
      <c r="IG228" s="121"/>
      <c r="IH228" s="121"/>
      <c r="II228" s="121"/>
      <c r="IJ228" s="121"/>
      <c r="IK228" s="121"/>
      <c r="IL228" s="121"/>
      <c r="IM228" s="121"/>
      <c r="IN228" s="121"/>
      <c r="IO228" s="121"/>
      <c r="IP228" s="121"/>
      <c r="IQ228" s="121"/>
      <c r="IR228" s="121"/>
      <c r="IS228" s="121"/>
      <c r="IT228" s="121"/>
      <c r="IU228" s="121"/>
      <c r="IV228" s="121"/>
      <c r="IW228" s="121"/>
      <c r="IX228" s="121"/>
      <c r="IY228" s="121"/>
      <c r="IZ228" s="121"/>
      <c r="JA228" s="121"/>
      <c r="JB228" s="121"/>
      <c r="JC228" s="121"/>
      <c r="JD228" s="121"/>
      <c r="JE228" s="121"/>
      <c r="JF228" s="121"/>
      <c r="JG228" s="121"/>
      <c r="JH228" s="121"/>
      <c r="JI228" s="121"/>
      <c r="JJ228" s="121"/>
      <c r="JK228" s="121"/>
      <c r="JL228" s="121"/>
      <c r="JM228" s="121"/>
      <c r="JN228" s="121"/>
      <c r="JO228" s="121"/>
      <c r="JP228" s="121"/>
      <c r="JQ228" s="121"/>
      <c r="JR228" s="121"/>
      <c r="JS228" s="121"/>
      <c r="JT228" s="121"/>
      <c r="JU228" s="121"/>
      <c r="JV228" s="121"/>
      <c r="JW228" s="121"/>
      <c r="JX228" s="121"/>
      <c r="JY228" s="121"/>
      <c r="JZ228" s="121"/>
      <c r="KA228" s="121"/>
      <c r="KB228" s="121"/>
      <c r="KC228" s="121"/>
      <c r="KD228" s="121"/>
      <c r="KE228" s="121"/>
      <c r="KF228" s="121"/>
      <c r="KG228" s="121"/>
      <c r="KH228" s="121"/>
      <c r="KI228" s="121"/>
      <c r="KJ228" s="121"/>
      <c r="KK228" s="121"/>
      <c r="KL228" s="121"/>
      <c r="KM228" s="121"/>
      <c r="KN228" s="121"/>
      <c r="KO228" s="121"/>
      <c r="KP228" s="121"/>
      <c r="KQ228" s="121"/>
      <c r="KR228" s="121"/>
      <c r="KS228" s="121"/>
      <c r="KT228" s="121"/>
      <c r="KU228" s="121"/>
      <c r="KV228" s="121"/>
      <c r="KW228" s="121"/>
      <c r="KX228" s="121"/>
      <c r="KY228" s="121"/>
      <c r="KZ228" s="121"/>
      <c r="LA228" s="121"/>
      <c r="LB228" s="121"/>
      <c r="LC228" s="121"/>
      <c r="LD228" s="121"/>
      <c r="LE228" s="121"/>
      <c r="LF228" s="121"/>
      <c r="LG228" s="121"/>
      <c r="LH228" s="121"/>
      <c r="LI228" s="121"/>
      <c r="LJ228" s="121"/>
      <c r="LK228" s="121"/>
      <c r="LL228" s="121"/>
      <c r="LM228" s="121"/>
      <c r="LN228" s="121"/>
      <c r="LO228" s="121"/>
      <c r="LP228" s="121"/>
      <c r="LQ228" s="121"/>
      <c r="LR228" s="121"/>
      <c r="LS228" s="121"/>
      <c r="LT228" s="121"/>
      <c r="LU228" s="121"/>
      <c r="LV228" s="121"/>
      <c r="LW228" s="121"/>
      <c r="LX228" s="121"/>
      <c r="LY228" s="121"/>
      <c r="LZ228" s="121"/>
      <c r="MA228" s="121"/>
      <c r="MB228" s="121"/>
      <c r="MC228" s="121"/>
      <c r="MD228" s="121"/>
      <c r="ME228" s="121"/>
      <c r="MF228" s="121"/>
      <c r="MG228" s="121"/>
      <c r="MH228" s="121"/>
      <c r="MI228" s="121"/>
      <c r="MJ228" s="121"/>
      <c r="MK228" s="121"/>
      <c r="ML228" s="121"/>
      <c r="MM228" s="121"/>
      <c r="MN228" s="121"/>
      <c r="MO228" s="121"/>
      <c r="MP228" s="121"/>
      <c r="MQ228" s="121"/>
      <c r="MR228" s="121"/>
      <c r="MS228" s="121"/>
      <c r="MT228" s="121"/>
      <c r="MU228" s="121"/>
      <c r="MV228" s="121"/>
      <c r="MW228" s="121"/>
      <c r="MX228" s="121"/>
      <c r="MY228" s="121"/>
      <c r="MZ228" s="121"/>
      <c r="NA228" s="121"/>
      <c r="NB228" s="121"/>
      <c r="NC228" s="121"/>
      <c r="ND228" s="121"/>
      <c r="NE228" s="121"/>
      <c r="NF228" s="121"/>
      <c r="NG228" s="121"/>
      <c r="NH228" s="121"/>
      <c r="NI228" s="121"/>
      <c r="NJ228" s="121"/>
      <c r="NK228" s="121"/>
      <c r="NL228" s="121"/>
      <c r="NM228" s="121"/>
      <c r="NN228" s="121"/>
      <c r="NO228" s="121"/>
      <c r="NP228" s="121"/>
      <c r="NQ228" s="121"/>
      <c r="NR228" s="121"/>
      <c r="NS228" s="121"/>
      <c r="NT228" s="121"/>
      <c r="NU228" s="121"/>
      <c r="NV228" s="121"/>
      <c r="NW228" s="121"/>
      <c r="NX228" s="121"/>
      <c r="NY228" s="121"/>
      <c r="NZ228" s="121"/>
      <c r="OA228" s="121"/>
      <c r="OB228" s="121"/>
      <c r="OC228" s="121"/>
      <c r="OD228" s="121"/>
      <c r="OE228" s="121"/>
      <c r="OF228" s="121"/>
      <c r="OG228" s="121"/>
      <c r="OH228" s="121"/>
      <c r="OI228" s="121"/>
      <c r="OJ228" s="121"/>
      <c r="OK228" s="121"/>
      <c r="OL228" s="121"/>
      <c r="OM228" s="121"/>
      <c r="ON228" s="121"/>
      <c r="OO228" s="121"/>
      <c r="OP228" s="121"/>
      <c r="OQ228" s="121"/>
      <c r="OR228" s="121"/>
      <c r="OS228" s="121"/>
      <c r="OT228" s="121"/>
      <c r="OU228" s="121"/>
      <c r="OV228" s="121"/>
      <c r="OW228" s="121"/>
      <c r="OX228" s="121"/>
      <c r="OY228" s="121"/>
      <c r="OZ228" s="121"/>
      <c r="PA228" s="121"/>
      <c r="PB228" s="121"/>
      <c r="PC228" s="121"/>
      <c r="PD228" s="121"/>
      <c r="PE228" s="121"/>
      <c r="PF228" s="121"/>
      <c r="PG228" s="121"/>
      <c r="PH228" s="121"/>
      <c r="PI228" s="121"/>
      <c r="PJ228" s="121"/>
      <c r="PK228" s="121"/>
      <c r="PL228" s="121"/>
      <c r="PM228" s="121"/>
      <c r="PN228" s="121"/>
      <c r="PO228" s="121"/>
      <c r="PP228" s="121"/>
      <c r="PQ228" s="121"/>
      <c r="PR228" s="121"/>
      <c r="PS228" s="121"/>
      <c r="PT228" s="121"/>
      <c r="PU228" s="121"/>
      <c r="PV228" s="121"/>
      <c r="PW228" s="121"/>
      <c r="PX228" s="121"/>
      <c r="PY228" s="121"/>
      <c r="PZ228" s="121"/>
      <c r="QA228" s="121"/>
      <c r="QB228" s="121"/>
      <c r="QC228" s="121"/>
      <c r="QD228" s="121"/>
      <c r="QE228" s="121"/>
      <c r="QF228" s="121"/>
      <c r="QG228" s="121"/>
      <c r="QH228" s="121"/>
      <c r="QI228" s="121"/>
      <c r="QJ228" s="121"/>
      <c r="QK228" s="121"/>
      <c r="QL228" s="121"/>
      <c r="QM228" s="121"/>
      <c r="QN228" s="121"/>
      <c r="QO228" s="121"/>
      <c r="QP228" s="121"/>
      <c r="QQ228" s="121"/>
      <c r="QR228" s="121"/>
      <c r="QS228" s="121"/>
      <c r="QT228" s="121"/>
      <c r="QU228" s="121"/>
      <c r="QV228" s="121"/>
      <c r="QW228" s="121"/>
      <c r="QX228" s="121"/>
      <c r="QY228" s="121"/>
      <c r="QZ228" s="121"/>
      <c r="RA228" s="121"/>
      <c r="RB228" s="121"/>
      <c r="RC228" s="121"/>
      <c r="RD228" s="121"/>
      <c r="RE228" s="121"/>
      <c r="RF228" s="121"/>
      <c r="RG228" s="121"/>
      <c r="RH228" s="121"/>
      <c r="RI228" s="121"/>
      <c r="RJ228" s="121"/>
      <c r="RK228" s="121"/>
      <c r="RL228" s="121"/>
      <c r="RM228" s="121"/>
      <c r="RN228" s="121"/>
      <c r="RO228" s="121"/>
      <c r="RP228" s="121"/>
      <c r="RQ228" s="121"/>
      <c r="RR228" s="121"/>
      <c r="RS228" s="121"/>
      <c r="RT228" s="121"/>
      <c r="RU228" s="121"/>
      <c r="RV228" s="121"/>
      <c r="RW228" s="121"/>
      <c r="RX228" s="121"/>
      <c r="RY228" s="121"/>
      <c r="RZ228" s="121"/>
      <c r="SA228" s="121"/>
      <c r="SB228" s="121"/>
      <c r="SC228" s="121"/>
      <c r="SD228" s="121"/>
      <c r="SE228" s="121"/>
      <c r="SF228" s="121"/>
      <c r="SG228" s="121"/>
      <c r="SH228" s="121"/>
      <c r="SI228" s="121"/>
      <c r="SJ228" s="121"/>
      <c r="SK228" s="121"/>
      <c r="SL228" s="121"/>
      <c r="SM228" s="121"/>
      <c r="SN228" s="121"/>
      <c r="SO228" s="121"/>
      <c r="SP228" s="121"/>
      <c r="SQ228" s="121"/>
      <c r="SR228" s="121"/>
      <c r="SS228" s="121"/>
      <c r="ST228" s="121"/>
      <c r="SU228" s="121"/>
      <c r="SV228" s="121"/>
      <c r="SW228" s="121"/>
      <c r="SX228" s="121"/>
      <c r="SY228" s="121"/>
      <c r="SZ228" s="121"/>
      <c r="TA228" s="121"/>
      <c r="TB228" s="121"/>
      <c r="TC228" s="121"/>
      <c r="TD228" s="121"/>
      <c r="TE228" s="121"/>
      <c r="TF228" s="121"/>
      <c r="TG228" s="121"/>
      <c r="TH228" s="121"/>
      <c r="TI228" s="121"/>
      <c r="TJ228" s="121"/>
      <c r="TK228" s="121"/>
      <c r="TL228" s="121"/>
      <c r="TM228" s="121"/>
      <c r="TN228" s="121"/>
      <c r="TO228" s="121"/>
      <c r="TP228" s="121"/>
      <c r="TQ228" s="121"/>
      <c r="TR228" s="121"/>
      <c r="TS228" s="121"/>
      <c r="TT228" s="121"/>
      <c r="TU228" s="121"/>
      <c r="TV228" s="121"/>
      <c r="TW228" s="121"/>
      <c r="TX228" s="121"/>
      <c r="TY228" s="121"/>
      <c r="TZ228" s="121"/>
      <c r="UA228" s="121"/>
      <c r="UB228" s="121"/>
      <c r="UC228" s="121"/>
      <c r="UD228" s="121"/>
      <c r="UE228" s="121"/>
      <c r="UF228" s="121"/>
      <c r="UG228" s="121"/>
      <c r="UH228" s="121"/>
      <c r="UI228" s="121"/>
      <c r="UJ228" s="121"/>
      <c r="UK228" s="121"/>
      <c r="UL228" s="121"/>
      <c r="UM228" s="121"/>
      <c r="UN228" s="121"/>
      <c r="UO228" s="121"/>
      <c r="UP228" s="121"/>
      <c r="UQ228" s="121"/>
      <c r="UR228" s="121"/>
      <c r="US228" s="121"/>
      <c r="UT228" s="121"/>
      <c r="UU228" s="121"/>
      <c r="UV228" s="121"/>
      <c r="UW228" s="121"/>
      <c r="UX228" s="121"/>
      <c r="UY228" s="121"/>
      <c r="UZ228" s="121"/>
      <c r="VA228" s="121"/>
      <c r="VB228" s="121"/>
      <c r="VC228" s="121"/>
      <c r="VD228" s="121"/>
      <c r="VE228" s="121"/>
      <c r="VF228" s="121"/>
      <c r="VG228" s="121"/>
      <c r="VH228" s="121"/>
      <c r="VI228" s="121"/>
      <c r="VJ228" s="121"/>
      <c r="VK228" s="121"/>
      <c r="VL228" s="121"/>
      <c r="VM228" s="121"/>
      <c r="VN228" s="121"/>
      <c r="VO228" s="121"/>
      <c r="VP228" s="121"/>
      <c r="VQ228" s="121"/>
      <c r="VR228" s="121"/>
      <c r="VS228" s="121"/>
      <c r="VT228" s="121"/>
      <c r="VU228" s="121"/>
      <c r="VV228" s="121"/>
      <c r="VW228" s="121"/>
      <c r="VX228" s="121"/>
      <c r="VY228" s="121"/>
      <c r="VZ228" s="121"/>
      <c r="WA228" s="121"/>
      <c r="WB228" s="121"/>
      <c r="WC228" s="121"/>
      <c r="WD228" s="121"/>
      <c r="WE228" s="121"/>
      <c r="WF228" s="121"/>
      <c r="WG228" s="121"/>
      <c r="WH228" s="121"/>
      <c r="WI228" s="121"/>
      <c r="WJ228" s="121"/>
      <c r="WK228" s="121"/>
      <c r="WL228" s="121"/>
      <c r="WM228" s="121"/>
      <c r="WN228" s="121"/>
      <c r="WO228" s="121"/>
      <c r="WP228" s="121"/>
      <c r="WQ228" s="121"/>
      <c r="WR228" s="121"/>
      <c r="WS228" s="121"/>
      <c r="WT228" s="121"/>
      <c r="WU228" s="121"/>
      <c r="WV228" s="121"/>
      <c r="WW228" s="121"/>
      <c r="WX228" s="121"/>
      <c r="WY228" s="121"/>
      <c r="WZ228" s="121"/>
      <c r="XA228" s="121"/>
      <c r="XB228" s="121"/>
      <c r="XC228" s="121"/>
      <c r="XD228" s="121"/>
      <c r="XE228" s="121"/>
      <c r="XF228" s="121"/>
      <c r="XG228" s="121"/>
      <c r="XH228" s="121"/>
      <c r="XI228" s="121"/>
      <c r="XJ228" s="121"/>
      <c r="XK228" s="121"/>
      <c r="XL228" s="121"/>
      <c r="XM228" s="121"/>
      <c r="XN228" s="121"/>
      <c r="XO228" s="121"/>
      <c r="XP228" s="121"/>
      <c r="XQ228" s="121"/>
      <c r="XR228" s="121"/>
      <c r="XS228" s="121"/>
      <c r="XT228" s="121"/>
      <c r="XU228" s="121"/>
      <c r="XV228" s="121"/>
      <c r="XW228" s="121"/>
      <c r="XX228" s="121"/>
      <c r="XY228" s="121"/>
      <c r="XZ228" s="121"/>
      <c r="YA228" s="121"/>
      <c r="YB228" s="121"/>
      <c r="YC228" s="121"/>
      <c r="YD228" s="121"/>
      <c r="YE228" s="121"/>
      <c r="YF228" s="121"/>
      <c r="YG228" s="121"/>
      <c r="YH228" s="121"/>
      <c r="YI228" s="121"/>
      <c r="YJ228" s="121"/>
      <c r="YK228" s="121"/>
      <c r="YL228" s="121"/>
      <c r="YM228" s="121"/>
      <c r="YN228" s="121"/>
      <c r="YO228" s="121"/>
      <c r="YP228" s="121"/>
      <c r="YQ228" s="121"/>
      <c r="YR228" s="121"/>
      <c r="YS228" s="121"/>
      <c r="YT228" s="121"/>
      <c r="YU228" s="121"/>
      <c r="YV228" s="121"/>
      <c r="YW228" s="121"/>
      <c r="YX228" s="121"/>
      <c r="YY228" s="121"/>
      <c r="YZ228" s="121"/>
      <c r="ZA228" s="121"/>
      <c r="ZB228" s="121"/>
      <c r="ZC228" s="121"/>
      <c r="ZD228" s="121"/>
      <c r="ZE228" s="121"/>
      <c r="ZF228" s="121"/>
      <c r="ZG228" s="121"/>
      <c r="ZH228" s="121"/>
      <c r="ZI228" s="121"/>
      <c r="ZJ228" s="121"/>
      <c r="ZK228" s="121"/>
      <c r="ZL228" s="121"/>
      <c r="ZM228" s="121"/>
      <c r="ZN228" s="121"/>
      <c r="ZO228" s="121"/>
      <c r="ZP228" s="121"/>
      <c r="ZQ228" s="121"/>
      <c r="ZR228" s="121"/>
      <c r="ZS228" s="121"/>
      <c r="ZT228" s="121"/>
      <c r="ZU228" s="121"/>
      <c r="ZV228" s="121"/>
      <c r="ZW228" s="121"/>
      <c r="ZX228" s="121"/>
      <c r="ZY228" s="121"/>
      <c r="ZZ228" s="121"/>
      <c r="AAA228" s="121"/>
      <c r="AAB228" s="121"/>
      <c r="AAC228" s="121"/>
      <c r="AAD228" s="121"/>
      <c r="AAE228" s="121"/>
      <c r="AAF228" s="121"/>
      <c r="AAG228" s="121"/>
      <c r="AAH228" s="121"/>
      <c r="AAI228" s="121"/>
      <c r="AAJ228" s="121"/>
      <c r="AAK228" s="121"/>
      <c r="AAL228" s="121"/>
      <c r="AAM228" s="121"/>
      <c r="AAN228" s="121"/>
      <c r="AAO228" s="121"/>
      <c r="AAP228" s="121"/>
      <c r="AAQ228" s="121"/>
      <c r="AAR228" s="121"/>
      <c r="AAS228" s="121"/>
      <c r="AAT228" s="121"/>
      <c r="AAU228" s="121"/>
      <c r="AAV228" s="121"/>
      <c r="AAW228" s="121"/>
      <c r="AAX228" s="121"/>
      <c r="AAY228" s="121"/>
      <c r="AAZ228" s="121"/>
      <c r="ABA228" s="121"/>
      <c r="ABB228" s="121"/>
      <c r="ABC228" s="121"/>
      <c r="ABD228" s="121"/>
      <c r="ABE228" s="121"/>
      <c r="ABF228" s="121"/>
      <c r="ABG228" s="121"/>
      <c r="ABH228" s="121"/>
      <c r="ABI228" s="121"/>
      <c r="ABJ228" s="121"/>
      <c r="ABK228" s="121"/>
      <c r="ABL228" s="121"/>
      <c r="ABM228" s="121"/>
      <c r="ABN228" s="121"/>
      <c r="ABO228" s="121"/>
      <c r="ABP228" s="121"/>
      <c r="ABQ228" s="121"/>
      <c r="ABR228" s="121"/>
      <c r="ABS228" s="121"/>
      <c r="ABT228" s="121"/>
      <c r="ABU228" s="121"/>
      <c r="ABV228" s="121"/>
      <c r="ABW228" s="121"/>
      <c r="ABX228" s="121"/>
      <c r="ABY228" s="121"/>
      <c r="ABZ228" s="121"/>
      <c r="ACA228" s="121"/>
      <c r="ACB228" s="121"/>
      <c r="ACC228" s="121"/>
      <c r="ACD228" s="121"/>
      <c r="ACE228" s="121"/>
      <c r="ACF228" s="121"/>
      <c r="ACG228" s="121"/>
      <c r="ACH228" s="121"/>
      <c r="ACI228" s="121"/>
      <c r="ACJ228" s="121"/>
      <c r="ACK228" s="121"/>
      <c r="ACL228" s="121"/>
      <c r="ACM228" s="121"/>
      <c r="ACN228" s="121"/>
      <c r="ACO228" s="121"/>
      <c r="ACP228" s="121"/>
      <c r="ACQ228" s="121"/>
      <c r="ACR228" s="121"/>
      <c r="ACS228" s="121"/>
      <c r="ACT228" s="121"/>
      <c r="ACU228" s="121"/>
      <c r="ACV228" s="121"/>
      <c r="ACW228" s="121"/>
      <c r="ACX228" s="121"/>
      <c r="ACY228" s="121"/>
      <c r="ACZ228" s="121"/>
      <c r="ADA228" s="121"/>
      <c r="ADB228" s="121"/>
      <c r="ADC228" s="121"/>
      <c r="ADD228" s="121"/>
      <c r="ADE228" s="121"/>
      <c r="ADF228" s="121"/>
      <c r="ADG228" s="121"/>
      <c r="ADH228" s="121"/>
      <c r="ADI228" s="121"/>
      <c r="ADJ228" s="121"/>
      <c r="ADK228" s="121"/>
      <c r="ADL228" s="121"/>
      <c r="ADM228" s="121"/>
      <c r="ADN228" s="121"/>
      <c r="ADO228" s="121"/>
      <c r="ADP228" s="121"/>
      <c r="ADQ228" s="121"/>
      <c r="ADR228" s="121"/>
      <c r="ADS228" s="121"/>
      <c r="ADT228" s="121"/>
      <c r="ADU228" s="121"/>
      <c r="ADV228" s="121"/>
      <c r="ADW228" s="121"/>
      <c r="ADX228" s="121"/>
      <c r="ADY228" s="121"/>
      <c r="ADZ228" s="121"/>
      <c r="AEA228" s="121"/>
      <c r="AEB228" s="121"/>
      <c r="AEC228" s="121"/>
      <c r="AED228" s="121"/>
      <c r="AEE228" s="121"/>
      <c r="AEF228" s="121"/>
      <c r="AEG228" s="121"/>
      <c r="AEH228" s="121"/>
      <c r="AEI228" s="121"/>
      <c r="AEJ228" s="121"/>
      <c r="AEK228" s="121"/>
      <c r="AEL228" s="121"/>
      <c r="AEM228" s="121"/>
      <c r="AEN228" s="121"/>
      <c r="AEO228" s="121"/>
      <c r="AEP228" s="121"/>
      <c r="AEQ228" s="121"/>
      <c r="AER228" s="121"/>
      <c r="AES228" s="121"/>
      <c r="AET228" s="121"/>
      <c r="AEU228" s="121"/>
      <c r="AEV228" s="121"/>
      <c r="AEW228" s="121"/>
      <c r="AEX228" s="121"/>
      <c r="AEY228" s="121"/>
      <c r="AEZ228" s="121"/>
      <c r="AFA228" s="121"/>
      <c r="AFB228" s="121"/>
      <c r="AFC228" s="121"/>
      <c r="AFD228" s="121"/>
      <c r="AFE228" s="121"/>
      <c r="AFF228" s="121"/>
      <c r="AFG228" s="121"/>
      <c r="AFH228" s="121"/>
      <c r="AFI228" s="121"/>
      <c r="AFJ228" s="121"/>
      <c r="AFK228" s="121"/>
      <c r="AFL228" s="121"/>
      <c r="AFM228" s="121"/>
      <c r="AFN228" s="121"/>
      <c r="AFO228" s="121"/>
      <c r="AFP228" s="121"/>
      <c r="AFQ228" s="121"/>
      <c r="AFR228" s="121"/>
      <c r="AFS228" s="121"/>
      <c r="AFT228" s="121"/>
      <c r="AFU228" s="121"/>
      <c r="AFV228" s="121"/>
      <c r="AFW228" s="121"/>
      <c r="AFX228" s="121"/>
      <c r="AFY228" s="121"/>
      <c r="AFZ228" s="121"/>
      <c r="AGA228" s="121"/>
      <c r="AGB228" s="121"/>
      <c r="AGC228" s="121"/>
      <c r="AGD228" s="121"/>
      <c r="AGE228" s="121"/>
    </row>
    <row r="229" spans="1:863" s="180" customFormat="1" ht="15.75" customHeight="1" x14ac:dyDescent="0.25">
      <c r="A229" s="390">
        <v>43375</v>
      </c>
      <c r="B229" s="177" t="s">
        <v>175</v>
      </c>
      <c r="C229" s="178" t="s">
        <v>31</v>
      </c>
      <c r="D229" s="178" t="s">
        <v>30</v>
      </c>
      <c r="E229" s="178" t="s">
        <v>81</v>
      </c>
      <c r="F229" s="178">
        <v>88</v>
      </c>
      <c r="G229" s="178">
        <v>360</v>
      </c>
      <c r="H229" s="176">
        <v>3330</v>
      </c>
      <c r="I229" s="178">
        <v>3330</v>
      </c>
      <c r="J229" s="179"/>
      <c r="K229" s="281" t="s">
        <v>396</v>
      </c>
      <c r="L229" s="282" t="s">
        <v>395</v>
      </c>
      <c r="M229" s="510"/>
      <c r="N229" s="226"/>
      <c r="O229" s="121"/>
      <c r="P229" s="121"/>
      <c r="Q229" s="121"/>
      <c r="R229" s="121"/>
      <c r="S229" s="121"/>
      <c r="T229" s="121"/>
      <c r="U229" s="121"/>
      <c r="V229" s="121"/>
      <c r="W229" s="121"/>
      <c r="X229" s="121"/>
      <c r="Y229" s="121"/>
      <c r="Z229" s="121"/>
      <c r="AA229" s="121"/>
      <c r="AB229" s="121"/>
      <c r="AC229" s="121"/>
      <c r="AD229" s="121"/>
      <c r="AE229" s="121"/>
      <c r="AF229" s="121"/>
      <c r="AG229" s="121"/>
      <c r="AH229" s="121"/>
      <c r="AI229" s="121"/>
      <c r="AJ229" s="121"/>
      <c r="AK229" s="121"/>
      <c r="AL229" s="121"/>
      <c r="AM229" s="121"/>
      <c r="AN229" s="121"/>
      <c r="AO229" s="121"/>
      <c r="AP229" s="121"/>
      <c r="AQ229" s="121"/>
      <c r="AR229" s="121"/>
      <c r="AS229" s="121"/>
      <c r="AT229" s="121"/>
      <c r="AU229" s="121"/>
      <c r="AV229" s="121"/>
      <c r="AW229" s="121"/>
      <c r="AX229" s="121"/>
      <c r="AY229" s="121"/>
      <c r="AZ229" s="121"/>
      <c r="BA229" s="121"/>
      <c r="BB229" s="121"/>
      <c r="BC229" s="121"/>
      <c r="BD229" s="121"/>
      <c r="BE229" s="121"/>
      <c r="BF229" s="121"/>
      <c r="BG229" s="121"/>
      <c r="BH229" s="121"/>
      <c r="BI229" s="121"/>
      <c r="BJ229" s="121"/>
      <c r="BK229" s="121"/>
      <c r="BL229" s="121"/>
      <c r="BM229" s="121"/>
      <c r="BN229" s="121"/>
      <c r="BO229" s="121"/>
      <c r="BP229" s="121"/>
      <c r="BQ229" s="121"/>
      <c r="BR229" s="121"/>
      <c r="BS229" s="121"/>
      <c r="BT229" s="121"/>
      <c r="BU229" s="121"/>
      <c r="BV229" s="121"/>
      <c r="BW229" s="121"/>
      <c r="BX229" s="121"/>
      <c r="BY229" s="121"/>
      <c r="BZ229" s="121"/>
      <c r="CA229" s="121"/>
      <c r="CB229" s="121"/>
      <c r="CC229" s="121"/>
      <c r="CD229" s="121"/>
      <c r="CE229" s="121"/>
      <c r="CF229" s="121"/>
      <c r="CG229" s="121"/>
      <c r="CH229" s="121"/>
      <c r="CI229" s="121"/>
      <c r="CJ229" s="121"/>
      <c r="CK229" s="121"/>
      <c r="CL229" s="121"/>
      <c r="CM229" s="121"/>
      <c r="CN229" s="121"/>
      <c r="CO229" s="121"/>
      <c r="CP229" s="121"/>
      <c r="CQ229" s="121"/>
      <c r="CR229" s="121"/>
      <c r="CS229" s="121"/>
      <c r="CT229" s="121"/>
      <c r="CU229" s="121"/>
      <c r="CV229" s="121"/>
      <c r="CW229" s="121"/>
      <c r="CX229" s="121"/>
      <c r="CY229" s="121"/>
      <c r="CZ229" s="121"/>
      <c r="DA229" s="121"/>
      <c r="DB229" s="121"/>
      <c r="DC229" s="121"/>
      <c r="DD229" s="121"/>
      <c r="DE229" s="121"/>
      <c r="DF229" s="121"/>
      <c r="DG229" s="121"/>
      <c r="DH229" s="121"/>
      <c r="DI229" s="121"/>
      <c r="DJ229" s="121"/>
      <c r="DK229" s="121"/>
      <c r="DL229" s="121"/>
      <c r="DM229" s="121"/>
      <c r="DN229" s="121"/>
      <c r="DO229" s="121"/>
      <c r="DP229" s="121"/>
      <c r="DQ229" s="121"/>
      <c r="DR229" s="121"/>
      <c r="DS229" s="121"/>
      <c r="DT229" s="121"/>
      <c r="DU229" s="121"/>
      <c r="DV229" s="121"/>
      <c r="DW229" s="121"/>
      <c r="DX229" s="121"/>
      <c r="DY229" s="121"/>
      <c r="DZ229" s="121"/>
      <c r="EA229" s="121"/>
      <c r="EB229" s="121"/>
      <c r="EC229" s="121"/>
      <c r="ED229" s="121"/>
      <c r="EE229" s="121"/>
      <c r="EF229" s="121"/>
      <c r="EG229" s="121"/>
      <c r="EH229" s="121"/>
      <c r="EI229" s="121"/>
      <c r="EJ229" s="121"/>
      <c r="EK229" s="121"/>
      <c r="EL229" s="121"/>
      <c r="EM229" s="121"/>
      <c r="EN229" s="121"/>
      <c r="EO229" s="121"/>
      <c r="EP229" s="121"/>
      <c r="EQ229" s="121"/>
      <c r="ER229" s="121"/>
      <c r="ES229" s="121"/>
      <c r="ET229" s="121"/>
      <c r="EU229" s="121"/>
      <c r="EV229" s="121"/>
      <c r="EW229" s="121"/>
      <c r="EX229" s="121"/>
      <c r="EY229" s="121"/>
      <c r="EZ229" s="121"/>
      <c r="FA229" s="121"/>
      <c r="FB229" s="121"/>
      <c r="FC229" s="121"/>
      <c r="FD229" s="121"/>
      <c r="FE229" s="121"/>
      <c r="FF229" s="121"/>
      <c r="FG229" s="121"/>
      <c r="FH229" s="121"/>
      <c r="FI229" s="121"/>
      <c r="FJ229" s="121"/>
      <c r="FK229" s="121"/>
      <c r="FL229" s="121"/>
      <c r="FM229" s="121"/>
      <c r="FN229" s="121"/>
      <c r="FO229" s="121"/>
      <c r="FP229" s="121"/>
      <c r="FQ229" s="121"/>
      <c r="FR229" s="121"/>
      <c r="FS229" s="121"/>
      <c r="FT229" s="121"/>
      <c r="FU229" s="121"/>
      <c r="FV229" s="121"/>
      <c r="FW229" s="121"/>
      <c r="FX229" s="121"/>
      <c r="FY229" s="121"/>
      <c r="FZ229" s="121"/>
      <c r="GA229" s="121"/>
      <c r="GB229" s="121"/>
      <c r="GC229" s="121"/>
      <c r="GD229" s="121"/>
      <c r="GE229" s="121"/>
      <c r="GF229" s="121"/>
      <c r="GG229" s="121"/>
      <c r="GH229" s="121"/>
      <c r="GI229" s="121"/>
      <c r="GJ229" s="121"/>
      <c r="GK229" s="121"/>
      <c r="GL229" s="121"/>
      <c r="GM229" s="121"/>
      <c r="GN229" s="121"/>
      <c r="GO229" s="121"/>
      <c r="GP229" s="121"/>
      <c r="GQ229" s="121"/>
      <c r="GR229" s="121"/>
      <c r="GS229" s="121"/>
      <c r="GT229" s="121"/>
      <c r="GU229" s="121"/>
      <c r="GV229" s="121"/>
      <c r="GW229" s="121"/>
      <c r="GX229" s="121"/>
      <c r="GY229" s="121"/>
      <c r="GZ229" s="121"/>
      <c r="HA229" s="121"/>
      <c r="HB229" s="121"/>
      <c r="HC229" s="121"/>
      <c r="HD229" s="121"/>
      <c r="HE229" s="121"/>
      <c r="HF229" s="121"/>
      <c r="HG229" s="121"/>
      <c r="HH229" s="121"/>
      <c r="HI229" s="121"/>
      <c r="HJ229" s="121"/>
      <c r="HK229" s="121"/>
      <c r="HL229" s="121"/>
      <c r="HM229" s="121"/>
      <c r="HN229" s="121"/>
      <c r="HO229" s="121"/>
      <c r="HP229" s="121"/>
      <c r="HQ229" s="121"/>
      <c r="HR229" s="121"/>
      <c r="HS229" s="121"/>
      <c r="HT229" s="121"/>
      <c r="HU229" s="121"/>
      <c r="HV229" s="121"/>
      <c r="HW229" s="121"/>
      <c r="HX229" s="121"/>
      <c r="HY229" s="121"/>
      <c r="HZ229" s="121"/>
      <c r="IA229" s="121"/>
      <c r="IB229" s="121"/>
      <c r="IC229" s="121"/>
      <c r="ID229" s="121"/>
      <c r="IE229" s="121"/>
      <c r="IF229" s="121"/>
      <c r="IG229" s="121"/>
      <c r="IH229" s="121"/>
      <c r="II229" s="121"/>
      <c r="IJ229" s="121"/>
      <c r="IK229" s="121"/>
      <c r="IL229" s="121"/>
      <c r="IM229" s="121"/>
      <c r="IN229" s="121"/>
      <c r="IO229" s="121"/>
      <c r="IP229" s="121"/>
      <c r="IQ229" s="121"/>
      <c r="IR229" s="121"/>
      <c r="IS229" s="121"/>
      <c r="IT229" s="121"/>
      <c r="IU229" s="121"/>
      <c r="IV229" s="121"/>
      <c r="IW229" s="121"/>
      <c r="IX229" s="121"/>
      <c r="IY229" s="121"/>
      <c r="IZ229" s="121"/>
      <c r="JA229" s="121"/>
      <c r="JB229" s="121"/>
      <c r="JC229" s="121"/>
      <c r="JD229" s="121"/>
      <c r="JE229" s="121"/>
      <c r="JF229" s="121"/>
      <c r="JG229" s="121"/>
      <c r="JH229" s="121"/>
      <c r="JI229" s="121"/>
      <c r="JJ229" s="121"/>
      <c r="JK229" s="121"/>
      <c r="JL229" s="121"/>
      <c r="JM229" s="121"/>
      <c r="JN229" s="121"/>
      <c r="JO229" s="121"/>
      <c r="JP229" s="121"/>
      <c r="JQ229" s="121"/>
      <c r="JR229" s="121"/>
      <c r="JS229" s="121"/>
      <c r="JT229" s="121"/>
      <c r="JU229" s="121"/>
      <c r="JV229" s="121"/>
      <c r="JW229" s="121"/>
      <c r="JX229" s="121"/>
      <c r="JY229" s="121"/>
      <c r="JZ229" s="121"/>
      <c r="KA229" s="121"/>
      <c r="KB229" s="121"/>
      <c r="KC229" s="121"/>
      <c r="KD229" s="121"/>
      <c r="KE229" s="121"/>
      <c r="KF229" s="121"/>
      <c r="KG229" s="121"/>
      <c r="KH229" s="121"/>
      <c r="KI229" s="121"/>
      <c r="KJ229" s="121"/>
      <c r="KK229" s="121"/>
      <c r="KL229" s="121"/>
      <c r="KM229" s="121"/>
      <c r="KN229" s="121"/>
      <c r="KO229" s="121"/>
      <c r="KP229" s="121"/>
      <c r="KQ229" s="121"/>
      <c r="KR229" s="121"/>
      <c r="KS229" s="121"/>
      <c r="KT229" s="121"/>
      <c r="KU229" s="121"/>
      <c r="KV229" s="121"/>
      <c r="KW229" s="121"/>
      <c r="KX229" s="121"/>
      <c r="KY229" s="121"/>
      <c r="KZ229" s="121"/>
      <c r="LA229" s="121"/>
      <c r="LB229" s="121"/>
      <c r="LC229" s="121"/>
      <c r="LD229" s="121"/>
      <c r="LE229" s="121"/>
      <c r="LF229" s="121"/>
      <c r="LG229" s="121"/>
      <c r="LH229" s="121"/>
      <c r="LI229" s="121"/>
      <c r="LJ229" s="121"/>
      <c r="LK229" s="121"/>
      <c r="LL229" s="121"/>
      <c r="LM229" s="121"/>
      <c r="LN229" s="121"/>
      <c r="LO229" s="121"/>
      <c r="LP229" s="121"/>
      <c r="LQ229" s="121"/>
      <c r="LR229" s="121"/>
      <c r="LS229" s="121"/>
      <c r="LT229" s="121"/>
      <c r="LU229" s="121"/>
      <c r="LV229" s="121"/>
      <c r="LW229" s="121"/>
      <c r="LX229" s="121"/>
      <c r="LY229" s="121"/>
      <c r="LZ229" s="121"/>
      <c r="MA229" s="121"/>
      <c r="MB229" s="121"/>
      <c r="MC229" s="121"/>
      <c r="MD229" s="121"/>
      <c r="ME229" s="121"/>
      <c r="MF229" s="121"/>
      <c r="MG229" s="121"/>
      <c r="MH229" s="121"/>
      <c r="MI229" s="121"/>
      <c r="MJ229" s="121"/>
      <c r="MK229" s="121"/>
      <c r="ML229" s="121"/>
      <c r="MM229" s="121"/>
      <c r="MN229" s="121"/>
      <c r="MO229" s="121"/>
      <c r="MP229" s="121"/>
      <c r="MQ229" s="121"/>
      <c r="MR229" s="121"/>
      <c r="MS229" s="121"/>
      <c r="MT229" s="121"/>
      <c r="MU229" s="121"/>
      <c r="MV229" s="121"/>
      <c r="MW229" s="121"/>
      <c r="MX229" s="121"/>
      <c r="MY229" s="121"/>
      <c r="MZ229" s="121"/>
      <c r="NA229" s="121"/>
      <c r="NB229" s="121"/>
      <c r="NC229" s="121"/>
      <c r="ND229" s="121"/>
      <c r="NE229" s="121"/>
      <c r="NF229" s="121"/>
      <c r="NG229" s="121"/>
      <c r="NH229" s="121"/>
      <c r="NI229" s="121"/>
      <c r="NJ229" s="121"/>
      <c r="NK229" s="121"/>
      <c r="NL229" s="121"/>
      <c r="NM229" s="121"/>
      <c r="NN229" s="121"/>
      <c r="NO229" s="121"/>
      <c r="NP229" s="121"/>
      <c r="NQ229" s="121"/>
      <c r="NR229" s="121"/>
      <c r="NS229" s="121"/>
      <c r="NT229" s="121"/>
      <c r="NU229" s="121"/>
      <c r="NV229" s="121"/>
      <c r="NW229" s="121"/>
      <c r="NX229" s="121"/>
      <c r="NY229" s="121"/>
      <c r="NZ229" s="121"/>
      <c r="OA229" s="121"/>
      <c r="OB229" s="121"/>
      <c r="OC229" s="121"/>
      <c r="OD229" s="121"/>
      <c r="OE229" s="121"/>
      <c r="OF229" s="121"/>
      <c r="OG229" s="121"/>
      <c r="OH229" s="121"/>
      <c r="OI229" s="121"/>
      <c r="OJ229" s="121"/>
      <c r="OK229" s="121"/>
      <c r="OL229" s="121"/>
      <c r="OM229" s="121"/>
      <c r="ON229" s="121"/>
      <c r="OO229" s="121"/>
      <c r="OP229" s="121"/>
      <c r="OQ229" s="121"/>
      <c r="OR229" s="121"/>
      <c r="OS229" s="121"/>
      <c r="OT229" s="121"/>
      <c r="OU229" s="121"/>
      <c r="OV229" s="121"/>
      <c r="OW229" s="121"/>
      <c r="OX229" s="121"/>
      <c r="OY229" s="121"/>
      <c r="OZ229" s="121"/>
      <c r="PA229" s="121"/>
      <c r="PB229" s="121"/>
      <c r="PC229" s="121"/>
      <c r="PD229" s="121"/>
      <c r="PE229" s="121"/>
      <c r="PF229" s="121"/>
      <c r="PG229" s="121"/>
      <c r="PH229" s="121"/>
      <c r="PI229" s="121"/>
      <c r="PJ229" s="121"/>
      <c r="PK229" s="121"/>
      <c r="PL229" s="121"/>
      <c r="PM229" s="121"/>
      <c r="PN229" s="121"/>
      <c r="PO229" s="121"/>
      <c r="PP229" s="121"/>
      <c r="PQ229" s="121"/>
      <c r="PR229" s="121"/>
      <c r="PS229" s="121"/>
      <c r="PT229" s="121"/>
      <c r="PU229" s="121"/>
      <c r="PV229" s="121"/>
      <c r="PW229" s="121"/>
      <c r="PX229" s="121"/>
      <c r="PY229" s="121"/>
      <c r="PZ229" s="121"/>
      <c r="QA229" s="121"/>
      <c r="QB229" s="121"/>
      <c r="QC229" s="121"/>
      <c r="QD229" s="121"/>
      <c r="QE229" s="121"/>
      <c r="QF229" s="121"/>
      <c r="QG229" s="121"/>
      <c r="QH229" s="121"/>
      <c r="QI229" s="121"/>
      <c r="QJ229" s="121"/>
      <c r="QK229" s="121"/>
      <c r="QL229" s="121"/>
      <c r="QM229" s="121"/>
      <c r="QN229" s="121"/>
      <c r="QO229" s="121"/>
      <c r="QP229" s="121"/>
      <c r="QQ229" s="121"/>
      <c r="QR229" s="121"/>
      <c r="QS229" s="121"/>
      <c r="QT229" s="121"/>
      <c r="QU229" s="121"/>
      <c r="QV229" s="121"/>
      <c r="QW229" s="121"/>
      <c r="QX229" s="121"/>
      <c r="QY229" s="121"/>
      <c r="QZ229" s="121"/>
      <c r="RA229" s="121"/>
      <c r="RB229" s="121"/>
      <c r="RC229" s="121"/>
      <c r="RD229" s="121"/>
      <c r="RE229" s="121"/>
      <c r="RF229" s="121"/>
      <c r="RG229" s="121"/>
      <c r="RH229" s="121"/>
      <c r="RI229" s="121"/>
      <c r="RJ229" s="121"/>
      <c r="RK229" s="121"/>
      <c r="RL229" s="121"/>
      <c r="RM229" s="121"/>
      <c r="RN229" s="121"/>
      <c r="RO229" s="121"/>
      <c r="RP229" s="121"/>
      <c r="RQ229" s="121"/>
      <c r="RR229" s="121"/>
      <c r="RS229" s="121"/>
      <c r="RT229" s="121"/>
      <c r="RU229" s="121"/>
      <c r="RV229" s="121"/>
      <c r="RW229" s="121"/>
      <c r="RX229" s="121"/>
      <c r="RY229" s="121"/>
      <c r="RZ229" s="121"/>
      <c r="SA229" s="121"/>
      <c r="SB229" s="121"/>
      <c r="SC229" s="121"/>
      <c r="SD229" s="121"/>
      <c r="SE229" s="121"/>
      <c r="SF229" s="121"/>
      <c r="SG229" s="121"/>
      <c r="SH229" s="121"/>
      <c r="SI229" s="121"/>
      <c r="SJ229" s="121"/>
      <c r="SK229" s="121"/>
      <c r="SL229" s="121"/>
      <c r="SM229" s="121"/>
      <c r="SN229" s="121"/>
      <c r="SO229" s="121"/>
      <c r="SP229" s="121"/>
      <c r="SQ229" s="121"/>
      <c r="SR229" s="121"/>
      <c r="SS229" s="121"/>
      <c r="ST229" s="121"/>
      <c r="SU229" s="121"/>
      <c r="SV229" s="121"/>
      <c r="SW229" s="121"/>
      <c r="SX229" s="121"/>
      <c r="SY229" s="121"/>
      <c r="SZ229" s="121"/>
      <c r="TA229" s="121"/>
      <c r="TB229" s="121"/>
      <c r="TC229" s="121"/>
      <c r="TD229" s="121"/>
      <c r="TE229" s="121"/>
      <c r="TF229" s="121"/>
      <c r="TG229" s="121"/>
      <c r="TH229" s="121"/>
      <c r="TI229" s="121"/>
      <c r="TJ229" s="121"/>
      <c r="TK229" s="121"/>
      <c r="TL229" s="121"/>
      <c r="TM229" s="121"/>
      <c r="TN229" s="121"/>
      <c r="TO229" s="121"/>
      <c r="TP229" s="121"/>
      <c r="TQ229" s="121"/>
      <c r="TR229" s="121"/>
      <c r="TS229" s="121"/>
      <c r="TT229" s="121"/>
      <c r="TU229" s="121"/>
      <c r="TV229" s="121"/>
      <c r="TW229" s="121"/>
      <c r="TX229" s="121"/>
      <c r="TY229" s="121"/>
      <c r="TZ229" s="121"/>
      <c r="UA229" s="121"/>
      <c r="UB229" s="121"/>
      <c r="UC229" s="121"/>
      <c r="UD229" s="121"/>
      <c r="UE229" s="121"/>
      <c r="UF229" s="121"/>
      <c r="UG229" s="121"/>
      <c r="UH229" s="121"/>
      <c r="UI229" s="121"/>
      <c r="UJ229" s="121"/>
      <c r="UK229" s="121"/>
      <c r="UL229" s="121"/>
      <c r="UM229" s="121"/>
      <c r="UN229" s="121"/>
      <c r="UO229" s="121"/>
      <c r="UP229" s="121"/>
      <c r="UQ229" s="121"/>
      <c r="UR229" s="121"/>
      <c r="US229" s="121"/>
      <c r="UT229" s="121"/>
      <c r="UU229" s="121"/>
      <c r="UV229" s="121"/>
      <c r="UW229" s="121"/>
      <c r="UX229" s="121"/>
      <c r="UY229" s="121"/>
      <c r="UZ229" s="121"/>
      <c r="VA229" s="121"/>
      <c r="VB229" s="121"/>
      <c r="VC229" s="121"/>
      <c r="VD229" s="121"/>
      <c r="VE229" s="121"/>
      <c r="VF229" s="121"/>
      <c r="VG229" s="121"/>
      <c r="VH229" s="121"/>
      <c r="VI229" s="121"/>
      <c r="VJ229" s="121"/>
      <c r="VK229" s="121"/>
      <c r="VL229" s="121"/>
      <c r="VM229" s="121"/>
      <c r="VN229" s="121"/>
      <c r="VO229" s="121"/>
      <c r="VP229" s="121"/>
      <c r="VQ229" s="121"/>
      <c r="VR229" s="121"/>
      <c r="VS229" s="121"/>
      <c r="VT229" s="121"/>
      <c r="VU229" s="121"/>
      <c r="VV229" s="121"/>
      <c r="VW229" s="121"/>
      <c r="VX229" s="121"/>
      <c r="VY229" s="121"/>
      <c r="VZ229" s="121"/>
      <c r="WA229" s="121"/>
      <c r="WB229" s="121"/>
      <c r="WC229" s="121"/>
      <c r="WD229" s="121"/>
      <c r="WE229" s="121"/>
      <c r="WF229" s="121"/>
      <c r="WG229" s="121"/>
      <c r="WH229" s="121"/>
      <c r="WI229" s="121"/>
      <c r="WJ229" s="121"/>
      <c r="WK229" s="121"/>
      <c r="WL229" s="121"/>
      <c r="WM229" s="121"/>
      <c r="WN229" s="121"/>
      <c r="WO229" s="121"/>
      <c r="WP229" s="121"/>
      <c r="WQ229" s="121"/>
      <c r="WR229" s="121"/>
      <c r="WS229" s="121"/>
      <c r="WT229" s="121"/>
      <c r="WU229" s="121"/>
      <c r="WV229" s="121"/>
      <c r="WW229" s="121"/>
      <c r="WX229" s="121"/>
      <c r="WY229" s="121"/>
      <c r="WZ229" s="121"/>
      <c r="XA229" s="121"/>
      <c r="XB229" s="121"/>
      <c r="XC229" s="121"/>
      <c r="XD229" s="121"/>
      <c r="XE229" s="121"/>
      <c r="XF229" s="121"/>
      <c r="XG229" s="121"/>
      <c r="XH229" s="121"/>
      <c r="XI229" s="121"/>
      <c r="XJ229" s="121"/>
      <c r="XK229" s="121"/>
      <c r="XL229" s="121"/>
      <c r="XM229" s="121"/>
      <c r="XN229" s="121"/>
      <c r="XO229" s="121"/>
      <c r="XP229" s="121"/>
      <c r="XQ229" s="121"/>
      <c r="XR229" s="121"/>
      <c r="XS229" s="121"/>
      <c r="XT229" s="121"/>
      <c r="XU229" s="121"/>
      <c r="XV229" s="121"/>
      <c r="XW229" s="121"/>
      <c r="XX229" s="121"/>
      <c r="XY229" s="121"/>
      <c r="XZ229" s="121"/>
      <c r="YA229" s="121"/>
      <c r="YB229" s="121"/>
      <c r="YC229" s="121"/>
      <c r="YD229" s="121"/>
      <c r="YE229" s="121"/>
      <c r="YF229" s="121"/>
      <c r="YG229" s="121"/>
      <c r="YH229" s="121"/>
      <c r="YI229" s="121"/>
      <c r="YJ229" s="121"/>
      <c r="YK229" s="121"/>
      <c r="YL229" s="121"/>
      <c r="YM229" s="121"/>
      <c r="YN229" s="121"/>
      <c r="YO229" s="121"/>
      <c r="YP229" s="121"/>
      <c r="YQ229" s="121"/>
      <c r="YR229" s="121"/>
      <c r="YS229" s="121"/>
      <c r="YT229" s="121"/>
      <c r="YU229" s="121"/>
      <c r="YV229" s="121"/>
      <c r="YW229" s="121"/>
      <c r="YX229" s="121"/>
      <c r="YY229" s="121"/>
      <c r="YZ229" s="121"/>
      <c r="ZA229" s="121"/>
      <c r="ZB229" s="121"/>
      <c r="ZC229" s="121"/>
      <c r="ZD229" s="121"/>
      <c r="ZE229" s="121"/>
      <c r="ZF229" s="121"/>
      <c r="ZG229" s="121"/>
      <c r="ZH229" s="121"/>
      <c r="ZI229" s="121"/>
      <c r="ZJ229" s="121"/>
      <c r="ZK229" s="121"/>
      <c r="ZL229" s="121"/>
      <c r="ZM229" s="121"/>
      <c r="ZN229" s="121"/>
      <c r="ZO229" s="121"/>
      <c r="ZP229" s="121"/>
      <c r="ZQ229" s="121"/>
      <c r="ZR229" s="121"/>
      <c r="ZS229" s="121"/>
      <c r="ZT229" s="121"/>
      <c r="ZU229" s="121"/>
      <c r="ZV229" s="121"/>
      <c r="ZW229" s="121"/>
      <c r="ZX229" s="121"/>
      <c r="ZY229" s="121"/>
      <c r="ZZ229" s="121"/>
      <c r="AAA229" s="121"/>
      <c r="AAB229" s="121"/>
      <c r="AAC229" s="121"/>
      <c r="AAD229" s="121"/>
      <c r="AAE229" s="121"/>
      <c r="AAF229" s="121"/>
      <c r="AAG229" s="121"/>
      <c r="AAH229" s="121"/>
      <c r="AAI229" s="121"/>
      <c r="AAJ229" s="121"/>
      <c r="AAK229" s="121"/>
      <c r="AAL229" s="121"/>
      <c r="AAM229" s="121"/>
      <c r="AAN229" s="121"/>
      <c r="AAO229" s="121"/>
      <c r="AAP229" s="121"/>
      <c r="AAQ229" s="121"/>
      <c r="AAR229" s="121"/>
      <c r="AAS229" s="121"/>
      <c r="AAT229" s="121"/>
      <c r="AAU229" s="121"/>
      <c r="AAV229" s="121"/>
      <c r="AAW229" s="121"/>
      <c r="AAX229" s="121"/>
      <c r="AAY229" s="121"/>
      <c r="AAZ229" s="121"/>
      <c r="ABA229" s="121"/>
      <c r="ABB229" s="121"/>
      <c r="ABC229" s="121"/>
      <c r="ABD229" s="121"/>
      <c r="ABE229" s="121"/>
      <c r="ABF229" s="121"/>
      <c r="ABG229" s="121"/>
      <c r="ABH229" s="121"/>
      <c r="ABI229" s="121"/>
      <c r="ABJ229" s="121"/>
      <c r="ABK229" s="121"/>
      <c r="ABL229" s="121"/>
      <c r="ABM229" s="121"/>
      <c r="ABN229" s="121"/>
      <c r="ABO229" s="121"/>
      <c r="ABP229" s="121"/>
      <c r="ABQ229" s="121"/>
      <c r="ABR229" s="121"/>
      <c r="ABS229" s="121"/>
      <c r="ABT229" s="121"/>
      <c r="ABU229" s="121"/>
      <c r="ABV229" s="121"/>
      <c r="ABW229" s="121"/>
      <c r="ABX229" s="121"/>
      <c r="ABY229" s="121"/>
      <c r="ABZ229" s="121"/>
      <c r="ACA229" s="121"/>
      <c r="ACB229" s="121"/>
      <c r="ACC229" s="121"/>
      <c r="ACD229" s="121"/>
      <c r="ACE229" s="121"/>
      <c r="ACF229" s="121"/>
      <c r="ACG229" s="121"/>
      <c r="ACH229" s="121"/>
      <c r="ACI229" s="121"/>
      <c r="ACJ229" s="121"/>
      <c r="ACK229" s="121"/>
      <c r="ACL229" s="121"/>
      <c r="ACM229" s="121"/>
      <c r="ACN229" s="121"/>
      <c r="ACO229" s="121"/>
      <c r="ACP229" s="121"/>
      <c r="ACQ229" s="121"/>
      <c r="ACR229" s="121"/>
      <c r="ACS229" s="121"/>
      <c r="ACT229" s="121"/>
      <c r="ACU229" s="121"/>
      <c r="ACV229" s="121"/>
      <c r="ACW229" s="121"/>
      <c r="ACX229" s="121"/>
      <c r="ACY229" s="121"/>
      <c r="ACZ229" s="121"/>
      <c r="ADA229" s="121"/>
      <c r="ADB229" s="121"/>
      <c r="ADC229" s="121"/>
      <c r="ADD229" s="121"/>
      <c r="ADE229" s="121"/>
      <c r="ADF229" s="121"/>
      <c r="ADG229" s="121"/>
      <c r="ADH229" s="121"/>
      <c r="ADI229" s="121"/>
      <c r="ADJ229" s="121"/>
      <c r="ADK229" s="121"/>
      <c r="ADL229" s="121"/>
      <c r="ADM229" s="121"/>
      <c r="ADN229" s="121"/>
      <c r="ADO229" s="121"/>
      <c r="ADP229" s="121"/>
      <c r="ADQ229" s="121"/>
      <c r="ADR229" s="121"/>
      <c r="ADS229" s="121"/>
      <c r="ADT229" s="121"/>
      <c r="ADU229" s="121"/>
      <c r="ADV229" s="121"/>
      <c r="ADW229" s="121"/>
      <c r="ADX229" s="121"/>
      <c r="ADY229" s="121"/>
      <c r="ADZ229" s="121"/>
      <c r="AEA229" s="121"/>
      <c r="AEB229" s="121"/>
      <c r="AEC229" s="121"/>
      <c r="AED229" s="121"/>
      <c r="AEE229" s="121"/>
      <c r="AEF229" s="121"/>
      <c r="AEG229" s="121"/>
      <c r="AEH229" s="121"/>
      <c r="AEI229" s="121"/>
      <c r="AEJ229" s="121"/>
      <c r="AEK229" s="121"/>
      <c r="AEL229" s="121"/>
      <c r="AEM229" s="121"/>
      <c r="AEN229" s="121"/>
      <c r="AEO229" s="121"/>
      <c r="AEP229" s="121"/>
      <c r="AEQ229" s="121"/>
      <c r="AER229" s="121"/>
      <c r="AES229" s="121"/>
      <c r="AET229" s="121"/>
      <c r="AEU229" s="121"/>
      <c r="AEV229" s="121"/>
      <c r="AEW229" s="121"/>
      <c r="AEX229" s="121"/>
      <c r="AEY229" s="121"/>
      <c r="AEZ229" s="121"/>
      <c r="AFA229" s="121"/>
      <c r="AFB229" s="121"/>
      <c r="AFC229" s="121"/>
      <c r="AFD229" s="121"/>
      <c r="AFE229" s="121"/>
      <c r="AFF229" s="121"/>
      <c r="AFG229" s="121"/>
      <c r="AFH229" s="121"/>
      <c r="AFI229" s="121"/>
      <c r="AFJ229" s="121"/>
      <c r="AFK229" s="121"/>
      <c r="AFL229" s="121"/>
      <c r="AFM229" s="121"/>
      <c r="AFN229" s="121"/>
      <c r="AFO229" s="121"/>
      <c r="AFP229" s="121"/>
      <c r="AFQ229" s="121"/>
      <c r="AFR229" s="121"/>
      <c r="AFS229" s="121"/>
      <c r="AFT229" s="121"/>
      <c r="AFU229" s="121"/>
      <c r="AFV229" s="121"/>
      <c r="AFW229" s="121"/>
      <c r="AFX229" s="121"/>
      <c r="AFY229" s="121"/>
      <c r="AFZ229" s="121"/>
      <c r="AGA229" s="121"/>
      <c r="AGB229" s="121"/>
      <c r="AGC229" s="121"/>
      <c r="AGD229" s="121"/>
      <c r="AGE229" s="121"/>
    </row>
    <row r="230" spans="1:863" s="180" customFormat="1" ht="15.75" customHeight="1" x14ac:dyDescent="0.25">
      <c r="A230" s="390">
        <v>43375</v>
      </c>
      <c r="B230" s="177" t="s">
        <v>176</v>
      </c>
      <c r="C230" s="178" t="s">
        <v>31</v>
      </c>
      <c r="D230" s="178" t="s">
        <v>30</v>
      </c>
      <c r="E230" s="178" t="s">
        <v>81</v>
      </c>
      <c r="F230" s="178">
        <v>86</v>
      </c>
      <c r="G230" s="178">
        <v>288</v>
      </c>
      <c r="H230" s="176">
        <v>2730</v>
      </c>
      <c r="I230" s="178">
        <v>2730</v>
      </c>
      <c r="J230" s="179"/>
      <c r="K230" s="281" t="s">
        <v>396</v>
      </c>
      <c r="L230" s="282" t="s">
        <v>395</v>
      </c>
      <c r="M230" s="510"/>
      <c r="N230" s="226"/>
      <c r="O230" s="121"/>
      <c r="P230" s="121"/>
      <c r="Q230" s="121"/>
      <c r="R230" s="121"/>
      <c r="S230" s="121"/>
      <c r="T230" s="121"/>
      <c r="U230" s="121"/>
      <c r="V230" s="121"/>
      <c r="W230" s="121"/>
      <c r="X230" s="121"/>
      <c r="Y230" s="121"/>
      <c r="Z230" s="121"/>
      <c r="AA230" s="121"/>
      <c r="AB230" s="121"/>
      <c r="AC230" s="121"/>
      <c r="AD230" s="121"/>
      <c r="AE230" s="121"/>
      <c r="AF230" s="121"/>
      <c r="AG230" s="121"/>
      <c r="AH230" s="121"/>
      <c r="AI230" s="121"/>
      <c r="AJ230" s="121"/>
      <c r="AK230" s="121"/>
      <c r="AL230" s="121"/>
      <c r="AM230" s="121"/>
      <c r="AN230" s="121"/>
      <c r="AO230" s="121"/>
      <c r="AP230" s="121"/>
      <c r="AQ230" s="121"/>
      <c r="AR230" s="121"/>
      <c r="AS230" s="121"/>
      <c r="AT230" s="121"/>
      <c r="AU230" s="121"/>
      <c r="AV230" s="121"/>
      <c r="AW230" s="121"/>
      <c r="AX230" s="121"/>
      <c r="AY230" s="121"/>
      <c r="AZ230" s="121"/>
      <c r="BA230" s="121"/>
      <c r="BB230" s="121"/>
      <c r="BC230" s="121"/>
      <c r="BD230" s="121"/>
      <c r="BE230" s="121"/>
      <c r="BF230" s="121"/>
      <c r="BG230" s="121"/>
      <c r="BH230" s="121"/>
      <c r="BI230" s="121"/>
      <c r="BJ230" s="121"/>
      <c r="BK230" s="121"/>
      <c r="BL230" s="121"/>
      <c r="BM230" s="121"/>
      <c r="BN230" s="121"/>
      <c r="BO230" s="121"/>
      <c r="BP230" s="121"/>
      <c r="BQ230" s="121"/>
      <c r="BR230" s="121"/>
      <c r="BS230" s="121"/>
      <c r="BT230" s="121"/>
      <c r="BU230" s="121"/>
      <c r="BV230" s="121"/>
      <c r="BW230" s="121"/>
      <c r="BX230" s="121"/>
      <c r="BY230" s="121"/>
      <c r="BZ230" s="121"/>
      <c r="CA230" s="121"/>
      <c r="CB230" s="121"/>
      <c r="CC230" s="121"/>
      <c r="CD230" s="121"/>
      <c r="CE230" s="121"/>
      <c r="CF230" s="121"/>
      <c r="CG230" s="121"/>
      <c r="CH230" s="121"/>
      <c r="CI230" s="121"/>
      <c r="CJ230" s="121"/>
      <c r="CK230" s="121"/>
      <c r="CL230" s="121"/>
      <c r="CM230" s="121"/>
      <c r="CN230" s="121"/>
      <c r="CO230" s="121"/>
      <c r="CP230" s="121"/>
      <c r="CQ230" s="121"/>
      <c r="CR230" s="121"/>
      <c r="CS230" s="121"/>
      <c r="CT230" s="121"/>
      <c r="CU230" s="121"/>
      <c r="CV230" s="121"/>
      <c r="CW230" s="121"/>
      <c r="CX230" s="121"/>
      <c r="CY230" s="121"/>
      <c r="CZ230" s="121"/>
      <c r="DA230" s="121"/>
      <c r="DB230" s="121"/>
      <c r="DC230" s="121"/>
      <c r="DD230" s="121"/>
      <c r="DE230" s="121"/>
      <c r="DF230" s="121"/>
      <c r="DG230" s="121"/>
      <c r="DH230" s="121"/>
      <c r="DI230" s="121"/>
      <c r="DJ230" s="121"/>
      <c r="DK230" s="121"/>
      <c r="DL230" s="121"/>
      <c r="DM230" s="121"/>
      <c r="DN230" s="121"/>
      <c r="DO230" s="121"/>
      <c r="DP230" s="121"/>
      <c r="DQ230" s="121"/>
      <c r="DR230" s="121"/>
      <c r="DS230" s="121"/>
      <c r="DT230" s="121"/>
      <c r="DU230" s="121"/>
      <c r="DV230" s="121"/>
      <c r="DW230" s="121"/>
      <c r="DX230" s="121"/>
      <c r="DY230" s="121"/>
      <c r="DZ230" s="121"/>
      <c r="EA230" s="121"/>
      <c r="EB230" s="121"/>
      <c r="EC230" s="121"/>
      <c r="ED230" s="121"/>
      <c r="EE230" s="121"/>
      <c r="EF230" s="121"/>
      <c r="EG230" s="121"/>
      <c r="EH230" s="121"/>
      <c r="EI230" s="121"/>
      <c r="EJ230" s="121"/>
      <c r="EK230" s="121"/>
      <c r="EL230" s="121"/>
      <c r="EM230" s="121"/>
      <c r="EN230" s="121"/>
      <c r="EO230" s="121"/>
      <c r="EP230" s="121"/>
      <c r="EQ230" s="121"/>
      <c r="ER230" s="121"/>
      <c r="ES230" s="121"/>
      <c r="ET230" s="121"/>
      <c r="EU230" s="121"/>
      <c r="EV230" s="121"/>
      <c r="EW230" s="121"/>
      <c r="EX230" s="121"/>
      <c r="EY230" s="121"/>
      <c r="EZ230" s="121"/>
      <c r="FA230" s="121"/>
      <c r="FB230" s="121"/>
      <c r="FC230" s="121"/>
      <c r="FD230" s="121"/>
      <c r="FE230" s="121"/>
      <c r="FF230" s="121"/>
      <c r="FG230" s="121"/>
      <c r="FH230" s="121"/>
      <c r="FI230" s="121"/>
      <c r="FJ230" s="121"/>
      <c r="FK230" s="121"/>
      <c r="FL230" s="121"/>
      <c r="FM230" s="121"/>
      <c r="FN230" s="121"/>
      <c r="FO230" s="121"/>
      <c r="FP230" s="121"/>
      <c r="FQ230" s="121"/>
      <c r="FR230" s="121"/>
      <c r="FS230" s="121"/>
      <c r="FT230" s="121"/>
      <c r="FU230" s="121"/>
      <c r="FV230" s="121"/>
      <c r="FW230" s="121"/>
      <c r="FX230" s="121"/>
      <c r="FY230" s="121"/>
      <c r="FZ230" s="121"/>
      <c r="GA230" s="121"/>
      <c r="GB230" s="121"/>
      <c r="GC230" s="121"/>
      <c r="GD230" s="121"/>
      <c r="GE230" s="121"/>
      <c r="GF230" s="121"/>
      <c r="GG230" s="121"/>
      <c r="GH230" s="121"/>
      <c r="GI230" s="121"/>
      <c r="GJ230" s="121"/>
      <c r="GK230" s="121"/>
      <c r="GL230" s="121"/>
      <c r="GM230" s="121"/>
      <c r="GN230" s="121"/>
      <c r="GO230" s="121"/>
      <c r="GP230" s="121"/>
      <c r="GQ230" s="121"/>
      <c r="GR230" s="121"/>
      <c r="GS230" s="121"/>
      <c r="GT230" s="121"/>
      <c r="GU230" s="121"/>
      <c r="GV230" s="121"/>
      <c r="GW230" s="121"/>
      <c r="GX230" s="121"/>
      <c r="GY230" s="121"/>
      <c r="GZ230" s="121"/>
      <c r="HA230" s="121"/>
      <c r="HB230" s="121"/>
      <c r="HC230" s="121"/>
      <c r="HD230" s="121"/>
      <c r="HE230" s="121"/>
      <c r="HF230" s="121"/>
      <c r="HG230" s="121"/>
      <c r="HH230" s="121"/>
      <c r="HI230" s="121"/>
      <c r="HJ230" s="121"/>
      <c r="HK230" s="121"/>
      <c r="HL230" s="121"/>
      <c r="HM230" s="121"/>
      <c r="HN230" s="121"/>
      <c r="HO230" s="121"/>
      <c r="HP230" s="121"/>
      <c r="HQ230" s="121"/>
      <c r="HR230" s="121"/>
      <c r="HS230" s="121"/>
      <c r="HT230" s="121"/>
      <c r="HU230" s="121"/>
      <c r="HV230" s="121"/>
      <c r="HW230" s="121"/>
      <c r="HX230" s="121"/>
      <c r="HY230" s="121"/>
      <c r="HZ230" s="121"/>
      <c r="IA230" s="121"/>
      <c r="IB230" s="121"/>
      <c r="IC230" s="121"/>
      <c r="ID230" s="121"/>
      <c r="IE230" s="121"/>
      <c r="IF230" s="121"/>
      <c r="IG230" s="121"/>
      <c r="IH230" s="121"/>
      <c r="II230" s="121"/>
      <c r="IJ230" s="121"/>
      <c r="IK230" s="121"/>
      <c r="IL230" s="121"/>
      <c r="IM230" s="121"/>
      <c r="IN230" s="121"/>
      <c r="IO230" s="121"/>
      <c r="IP230" s="121"/>
      <c r="IQ230" s="121"/>
      <c r="IR230" s="121"/>
      <c r="IS230" s="121"/>
      <c r="IT230" s="121"/>
      <c r="IU230" s="121"/>
      <c r="IV230" s="121"/>
      <c r="IW230" s="121"/>
      <c r="IX230" s="121"/>
      <c r="IY230" s="121"/>
      <c r="IZ230" s="121"/>
      <c r="JA230" s="121"/>
      <c r="JB230" s="121"/>
      <c r="JC230" s="121"/>
      <c r="JD230" s="121"/>
      <c r="JE230" s="121"/>
      <c r="JF230" s="121"/>
      <c r="JG230" s="121"/>
      <c r="JH230" s="121"/>
      <c r="JI230" s="121"/>
      <c r="JJ230" s="121"/>
      <c r="JK230" s="121"/>
      <c r="JL230" s="121"/>
      <c r="JM230" s="121"/>
      <c r="JN230" s="121"/>
      <c r="JO230" s="121"/>
      <c r="JP230" s="121"/>
      <c r="JQ230" s="121"/>
      <c r="JR230" s="121"/>
      <c r="JS230" s="121"/>
      <c r="JT230" s="121"/>
      <c r="JU230" s="121"/>
      <c r="JV230" s="121"/>
      <c r="JW230" s="121"/>
      <c r="JX230" s="121"/>
      <c r="JY230" s="121"/>
      <c r="JZ230" s="121"/>
      <c r="KA230" s="121"/>
      <c r="KB230" s="121"/>
      <c r="KC230" s="121"/>
      <c r="KD230" s="121"/>
      <c r="KE230" s="121"/>
      <c r="KF230" s="121"/>
      <c r="KG230" s="121"/>
      <c r="KH230" s="121"/>
      <c r="KI230" s="121"/>
      <c r="KJ230" s="121"/>
      <c r="KK230" s="121"/>
      <c r="KL230" s="121"/>
      <c r="KM230" s="121"/>
      <c r="KN230" s="121"/>
      <c r="KO230" s="121"/>
      <c r="KP230" s="121"/>
      <c r="KQ230" s="121"/>
      <c r="KR230" s="121"/>
      <c r="KS230" s="121"/>
      <c r="KT230" s="121"/>
      <c r="KU230" s="121"/>
      <c r="KV230" s="121"/>
      <c r="KW230" s="121"/>
      <c r="KX230" s="121"/>
      <c r="KY230" s="121"/>
      <c r="KZ230" s="121"/>
      <c r="LA230" s="121"/>
      <c r="LB230" s="121"/>
      <c r="LC230" s="121"/>
      <c r="LD230" s="121"/>
      <c r="LE230" s="121"/>
      <c r="LF230" s="121"/>
      <c r="LG230" s="121"/>
      <c r="LH230" s="121"/>
      <c r="LI230" s="121"/>
      <c r="LJ230" s="121"/>
      <c r="LK230" s="121"/>
      <c r="LL230" s="121"/>
      <c r="LM230" s="121"/>
      <c r="LN230" s="121"/>
      <c r="LO230" s="121"/>
      <c r="LP230" s="121"/>
      <c r="LQ230" s="121"/>
      <c r="LR230" s="121"/>
      <c r="LS230" s="121"/>
      <c r="LT230" s="121"/>
      <c r="LU230" s="121"/>
      <c r="LV230" s="121"/>
      <c r="LW230" s="121"/>
      <c r="LX230" s="121"/>
      <c r="LY230" s="121"/>
      <c r="LZ230" s="121"/>
      <c r="MA230" s="121"/>
      <c r="MB230" s="121"/>
      <c r="MC230" s="121"/>
      <c r="MD230" s="121"/>
      <c r="ME230" s="121"/>
      <c r="MF230" s="121"/>
      <c r="MG230" s="121"/>
      <c r="MH230" s="121"/>
      <c r="MI230" s="121"/>
      <c r="MJ230" s="121"/>
      <c r="MK230" s="121"/>
      <c r="ML230" s="121"/>
      <c r="MM230" s="121"/>
      <c r="MN230" s="121"/>
      <c r="MO230" s="121"/>
      <c r="MP230" s="121"/>
      <c r="MQ230" s="121"/>
      <c r="MR230" s="121"/>
      <c r="MS230" s="121"/>
      <c r="MT230" s="121"/>
      <c r="MU230" s="121"/>
      <c r="MV230" s="121"/>
      <c r="MW230" s="121"/>
      <c r="MX230" s="121"/>
      <c r="MY230" s="121"/>
      <c r="MZ230" s="121"/>
      <c r="NA230" s="121"/>
      <c r="NB230" s="121"/>
      <c r="NC230" s="121"/>
      <c r="ND230" s="121"/>
      <c r="NE230" s="121"/>
      <c r="NF230" s="121"/>
      <c r="NG230" s="121"/>
      <c r="NH230" s="121"/>
      <c r="NI230" s="121"/>
      <c r="NJ230" s="121"/>
      <c r="NK230" s="121"/>
      <c r="NL230" s="121"/>
      <c r="NM230" s="121"/>
      <c r="NN230" s="121"/>
      <c r="NO230" s="121"/>
      <c r="NP230" s="121"/>
      <c r="NQ230" s="121"/>
      <c r="NR230" s="121"/>
      <c r="NS230" s="121"/>
      <c r="NT230" s="121"/>
      <c r="NU230" s="121"/>
      <c r="NV230" s="121"/>
      <c r="NW230" s="121"/>
      <c r="NX230" s="121"/>
      <c r="NY230" s="121"/>
      <c r="NZ230" s="121"/>
      <c r="OA230" s="121"/>
      <c r="OB230" s="121"/>
      <c r="OC230" s="121"/>
      <c r="OD230" s="121"/>
      <c r="OE230" s="121"/>
      <c r="OF230" s="121"/>
      <c r="OG230" s="121"/>
      <c r="OH230" s="121"/>
      <c r="OI230" s="121"/>
      <c r="OJ230" s="121"/>
      <c r="OK230" s="121"/>
      <c r="OL230" s="121"/>
      <c r="OM230" s="121"/>
      <c r="ON230" s="121"/>
      <c r="OO230" s="121"/>
      <c r="OP230" s="121"/>
      <c r="OQ230" s="121"/>
      <c r="OR230" s="121"/>
      <c r="OS230" s="121"/>
      <c r="OT230" s="121"/>
      <c r="OU230" s="121"/>
      <c r="OV230" s="121"/>
      <c r="OW230" s="121"/>
      <c r="OX230" s="121"/>
      <c r="OY230" s="121"/>
      <c r="OZ230" s="121"/>
      <c r="PA230" s="121"/>
      <c r="PB230" s="121"/>
      <c r="PC230" s="121"/>
      <c r="PD230" s="121"/>
      <c r="PE230" s="121"/>
      <c r="PF230" s="121"/>
      <c r="PG230" s="121"/>
      <c r="PH230" s="121"/>
      <c r="PI230" s="121"/>
      <c r="PJ230" s="121"/>
      <c r="PK230" s="121"/>
      <c r="PL230" s="121"/>
      <c r="PM230" s="121"/>
      <c r="PN230" s="121"/>
      <c r="PO230" s="121"/>
      <c r="PP230" s="121"/>
      <c r="PQ230" s="121"/>
      <c r="PR230" s="121"/>
      <c r="PS230" s="121"/>
      <c r="PT230" s="121"/>
      <c r="PU230" s="121"/>
      <c r="PV230" s="121"/>
      <c r="PW230" s="121"/>
      <c r="PX230" s="121"/>
      <c r="PY230" s="121"/>
      <c r="PZ230" s="121"/>
      <c r="QA230" s="121"/>
      <c r="QB230" s="121"/>
      <c r="QC230" s="121"/>
      <c r="QD230" s="121"/>
      <c r="QE230" s="121"/>
      <c r="QF230" s="121"/>
      <c r="QG230" s="121"/>
      <c r="QH230" s="121"/>
      <c r="QI230" s="121"/>
      <c r="QJ230" s="121"/>
      <c r="QK230" s="121"/>
      <c r="QL230" s="121"/>
      <c r="QM230" s="121"/>
      <c r="QN230" s="121"/>
      <c r="QO230" s="121"/>
      <c r="QP230" s="121"/>
      <c r="QQ230" s="121"/>
      <c r="QR230" s="121"/>
      <c r="QS230" s="121"/>
      <c r="QT230" s="121"/>
      <c r="QU230" s="121"/>
      <c r="QV230" s="121"/>
      <c r="QW230" s="121"/>
      <c r="QX230" s="121"/>
      <c r="QY230" s="121"/>
      <c r="QZ230" s="121"/>
      <c r="RA230" s="121"/>
      <c r="RB230" s="121"/>
      <c r="RC230" s="121"/>
      <c r="RD230" s="121"/>
      <c r="RE230" s="121"/>
      <c r="RF230" s="121"/>
      <c r="RG230" s="121"/>
      <c r="RH230" s="121"/>
      <c r="RI230" s="121"/>
      <c r="RJ230" s="121"/>
      <c r="RK230" s="121"/>
      <c r="RL230" s="121"/>
      <c r="RM230" s="121"/>
      <c r="RN230" s="121"/>
      <c r="RO230" s="121"/>
      <c r="RP230" s="121"/>
      <c r="RQ230" s="121"/>
      <c r="RR230" s="121"/>
      <c r="RS230" s="121"/>
      <c r="RT230" s="121"/>
      <c r="RU230" s="121"/>
      <c r="RV230" s="121"/>
      <c r="RW230" s="121"/>
      <c r="RX230" s="121"/>
      <c r="RY230" s="121"/>
      <c r="RZ230" s="121"/>
      <c r="SA230" s="121"/>
      <c r="SB230" s="121"/>
      <c r="SC230" s="121"/>
      <c r="SD230" s="121"/>
      <c r="SE230" s="121"/>
      <c r="SF230" s="121"/>
      <c r="SG230" s="121"/>
      <c r="SH230" s="121"/>
      <c r="SI230" s="121"/>
      <c r="SJ230" s="121"/>
      <c r="SK230" s="121"/>
      <c r="SL230" s="121"/>
      <c r="SM230" s="121"/>
      <c r="SN230" s="121"/>
      <c r="SO230" s="121"/>
      <c r="SP230" s="121"/>
      <c r="SQ230" s="121"/>
      <c r="SR230" s="121"/>
      <c r="SS230" s="121"/>
      <c r="ST230" s="121"/>
      <c r="SU230" s="121"/>
      <c r="SV230" s="121"/>
      <c r="SW230" s="121"/>
      <c r="SX230" s="121"/>
      <c r="SY230" s="121"/>
      <c r="SZ230" s="121"/>
      <c r="TA230" s="121"/>
      <c r="TB230" s="121"/>
      <c r="TC230" s="121"/>
      <c r="TD230" s="121"/>
      <c r="TE230" s="121"/>
      <c r="TF230" s="121"/>
      <c r="TG230" s="121"/>
      <c r="TH230" s="121"/>
      <c r="TI230" s="121"/>
      <c r="TJ230" s="121"/>
      <c r="TK230" s="121"/>
      <c r="TL230" s="121"/>
      <c r="TM230" s="121"/>
      <c r="TN230" s="121"/>
      <c r="TO230" s="121"/>
      <c r="TP230" s="121"/>
      <c r="TQ230" s="121"/>
      <c r="TR230" s="121"/>
      <c r="TS230" s="121"/>
      <c r="TT230" s="121"/>
      <c r="TU230" s="121"/>
      <c r="TV230" s="121"/>
      <c r="TW230" s="121"/>
      <c r="TX230" s="121"/>
      <c r="TY230" s="121"/>
      <c r="TZ230" s="121"/>
      <c r="UA230" s="121"/>
      <c r="UB230" s="121"/>
      <c r="UC230" s="121"/>
      <c r="UD230" s="121"/>
      <c r="UE230" s="121"/>
      <c r="UF230" s="121"/>
      <c r="UG230" s="121"/>
      <c r="UH230" s="121"/>
      <c r="UI230" s="121"/>
      <c r="UJ230" s="121"/>
      <c r="UK230" s="121"/>
      <c r="UL230" s="121"/>
      <c r="UM230" s="121"/>
      <c r="UN230" s="121"/>
      <c r="UO230" s="121"/>
      <c r="UP230" s="121"/>
      <c r="UQ230" s="121"/>
      <c r="UR230" s="121"/>
      <c r="US230" s="121"/>
      <c r="UT230" s="121"/>
      <c r="UU230" s="121"/>
      <c r="UV230" s="121"/>
      <c r="UW230" s="121"/>
      <c r="UX230" s="121"/>
      <c r="UY230" s="121"/>
      <c r="UZ230" s="121"/>
      <c r="VA230" s="121"/>
      <c r="VB230" s="121"/>
      <c r="VC230" s="121"/>
      <c r="VD230" s="121"/>
      <c r="VE230" s="121"/>
      <c r="VF230" s="121"/>
      <c r="VG230" s="121"/>
      <c r="VH230" s="121"/>
      <c r="VI230" s="121"/>
      <c r="VJ230" s="121"/>
      <c r="VK230" s="121"/>
      <c r="VL230" s="121"/>
      <c r="VM230" s="121"/>
      <c r="VN230" s="121"/>
      <c r="VO230" s="121"/>
      <c r="VP230" s="121"/>
      <c r="VQ230" s="121"/>
      <c r="VR230" s="121"/>
      <c r="VS230" s="121"/>
      <c r="VT230" s="121"/>
      <c r="VU230" s="121"/>
      <c r="VV230" s="121"/>
      <c r="VW230" s="121"/>
      <c r="VX230" s="121"/>
      <c r="VY230" s="121"/>
      <c r="VZ230" s="121"/>
      <c r="WA230" s="121"/>
      <c r="WB230" s="121"/>
      <c r="WC230" s="121"/>
      <c r="WD230" s="121"/>
      <c r="WE230" s="121"/>
      <c r="WF230" s="121"/>
      <c r="WG230" s="121"/>
      <c r="WH230" s="121"/>
      <c r="WI230" s="121"/>
      <c r="WJ230" s="121"/>
      <c r="WK230" s="121"/>
      <c r="WL230" s="121"/>
      <c r="WM230" s="121"/>
      <c r="WN230" s="121"/>
      <c r="WO230" s="121"/>
      <c r="WP230" s="121"/>
      <c r="WQ230" s="121"/>
      <c r="WR230" s="121"/>
      <c r="WS230" s="121"/>
      <c r="WT230" s="121"/>
      <c r="WU230" s="121"/>
      <c r="WV230" s="121"/>
      <c r="WW230" s="121"/>
      <c r="WX230" s="121"/>
      <c r="WY230" s="121"/>
      <c r="WZ230" s="121"/>
      <c r="XA230" s="121"/>
      <c r="XB230" s="121"/>
      <c r="XC230" s="121"/>
      <c r="XD230" s="121"/>
      <c r="XE230" s="121"/>
      <c r="XF230" s="121"/>
      <c r="XG230" s="121"/>
      <c r="XH230" s="121"/>
      <c r="XI230" s="121"/>
      <c r="XJ230" s="121"/>
      <c r="XK230" s="121"/>
      <c r="XL230" s="121"/>
      <c r="XM230" s="121"/>
      <c r="XN230" s="121"/>
      <c r="XO230" s="121"/>
      <c r="XP230" s="121"/>
      <c r="XQ230" s="121"/>
      <c r="XR230" s="121"/>
      <c r="XS230" s="121"/>
      <c r="XT230" s="121"/>
      <c r="XU230" s="121"/>
      <c r="XV230" s="121"/>
      <c r="XW230" s="121"/>
      <c r="XX230" s="121"/>
      <c r="XY230" s="121"/>
      <c r="XZ230" s="121"/>
      <c r="YA230" s="121"/>
      <c r="YB230" s="121"/>
      <c r="YC230" s="121"/>
      <c r="YD230" s="121"/>
      <c r="YE230" s="121"/>
      <c r="YF230" s="121"/>
      <c r="YG230" s="121"/>
      <c r="YH230" s="121"/>
      <c r="YI230" s="121"/>
      <c r="YJ230" s="121"/>
      <c r="YK230" s="121"/>
      <c r="YL230" s="121"/>
      <c r="YM230" s="121"/>
      <c r="YN230" s="121"/>
      <c r="YO230" s="121"/>
      <c r="YP230" s="121"/>
      <c r="YQ230" s="121"/>
      <c r="YR230" s="121"/>
      <c r="YS230" s="121"/>
      <c r="YT230" s="121"/>
      <c r="YU230" s="121"/>
      <c r="YV230" s="121"/>
      <c r="YW230" s="121"/>
      <c r="YX230" s="121"/>
      <c r="YY230" s="121"/>
      <c r="YZ230" s="121"/>
      <c r="ZA230" s="121"/>
      <c r="ZB230" s="121"/>
      <c r="ZC230" s="121"/>
      <c r="ZD230" s="121"/>
      <c r="ZE230" s="121"/>
      <c r="ZF230" s="121"/>
      <c r="ZG230" s="121"/>
      <c r="ZH230" s="121"/>
      <c r="ZI230" s="121"/>
      <c r="ZJ230" s="121"/>
      <c r="ZK230" s="121"/>
      <c r="ZL230" s="121"/>
      <c r="ZM230" s="121"/>
      <c r="ZN230" s="121"/>
      <c r="ZO230" s="121"/>
      <c r="ZP230" s="121"/>
      <c r="ZQ230" s="121"/>
      <c r="ZR230" s="121"/>
      <c r="ZS230" s="121"/>
      <c r="ZT230" s="121"/>
      <c r="ZU230" s="121"/>
      <c r="ZV230" s="121"/>
      <c r="ZW230" s="121"/>
      <c r="ZX230" s="121"/>
      <c r="ZY230" s="121"/>
      <c r="ZZ230" s="121"/>
      <c r="AAA230" s="121"/>
      <c r="AAB230" s="121"/>
      <c r="AAC230" s="121"/>
      <c r="AAD230" s="121"/>
      <c r="AAE230" s="121"/>
      <c r="AAF230" s="121"/>
      <c r="AAG230" s="121"/>
      <c r="AAH230" s="121"/>
      <c r="AAI230" s="121"/>
      <c r="AAJ230" s="121"/>
      <c r="AAK230" s="121"/>
      <c r="AAL230" s="121"/>
      <c r="AAM230" s="121"/>
      <c r="AAN230" s="121"/>
      <c r="AAO230" s="121"/>
      <c r="AAP230" s="121"/>
      <c r="AAQ230" s="121"/>
      <c r="AAR230" s="121"/>
      <c r="AAS230" s="121"/>
      <c r="AAT230" s="121"/>
      <c r="AAU230" s="121"/>
      <c r="AAV230" s="121"/>
      <c r="AAW230" s="121"/>
      <c r="AAX230" s="121"/>
      <c r="AAY230" s="121"/>
      <c r="AAZ230" s="121"/>
      <c r="ABA230" s="121"/>
      <c r="ABB230" s="121"/>
      <c r="ABC230" s="121"/>
      <c r="ABD230" s="121"/>
      <c r="ABE230" s="121"/>
      <c r="ABF230" s="121"/>
      <c r="ABG230" s="121"/>
      <c r="ABH230" s="121"/>
      <c r="ABI230" s="121"/>
      <c r="ABJ230" s="121"/>
      <c r="ABK230" s="121"/>
      <c r="ABL230" s="121"/>
      <c r="ABM230" s="121"/>
      <c r="ABN230" s="121"/>
      <c r="ABO230" s="121"/>
      <c r="ABP230" s="121"/>
      <c r="ABQ230" s="121"/>
      <c r="ABR230" s="121"/>
      <c r="ABS230" s="121"/>
      <c r="ABT230" s="121"/>
      <c r="ABU230" s="121"/>
      <c r="ABV230" s="121"/>
      <c r="ABW230" s="121"/>
      <c r="ABX230" s="121"/>
      <c r="ABY230" s="121"/>
      <c r="ABZ230" s="121"/>
      <c r="ACA230" s="121"/>
      <c r="ACB230" s="121"/>
      <c r="ACC230" s="121"/>
      <c r="ACD230" s="121"/>
      <c r="ACE230" s="121"/>
      <c r="ACF230" s="121"/>
      <c r="ACG230" s="121"/>
      <c r="ACH230" s="121"/>
      <c r="ACI230" s="121"/>
      <c r="ACJ230" s="121"/>
      <c r="ACK230" s="121"/>
      <c r="ACL230" s="121"/>
      <c r="ACM230" s="121"/>
      <c r="ACN230" s="121"/>
      <c r="ACO230" s="121"/>
      <c r="ACP230" s="121"/>
      <c r="ACQ230" s="121"/>
      <c r="ACR230" s="121"/>
      <c r="ACS230" s="121"/>
      <c r="ACT230" s="121"/>
      <c r="ACU230" s="121"/>
      <c r="ACV230" s="121"/>
      <c r="ACW230" s="121"/>
      <c r="ACX230" s="121"/>
      <c r="ACY230" s="121"/>
      <c r="ACZ230" s="121"/>
      <c r="ADA230" s="121"/>
      <c r="ADB230" s="121"/>
      <c r="ADC230" s="121"/>
      <c r="ADD230" s="121"/>
      <c r="ADE230" s="121"/>
      <c r="ADF230" s="121"/>
      <c r="ADG230" s="121"/>
      <c r="ADH230" s="121"/>
      <c r="ADI230" s="121"/>
      <c r="ADJ230" s="121"/>
      <c r="ADK230" s="121"/>
      <c r="ADL230" s="121"/>
      <c r="ADM230" s="121"/>
      <c r="ADN230" s="121"/>
      <c r="ADO230" s="121"/>
      <c r="ADP230" s="121"/>
      <c r="ADQ230" s="121"/>
      <c r="ADR230" s="121"/>
      <c r="ADS230" s="121"/>
      <c r="ADT230" s="121"/>
      <c r="ADU230" s="121"/>
      <c r="ADV230" s="121"/>
      <c r="ADW230" s="121"/>
      <c r="ADX230" s="121"/>
      <c r="ADY230" s="121"/>
      <c r="ADZ230" s="121"/>
      <c r="AEA230" s="121"/>
      <c r="AEB230" s="121"/>
      <c r="AEC230" s="121"/>
      <c r="AED230" s="121"/>
      <c r="AEE230" s="121"/>
      <c r="AEF230" s="121"/>
      <c r="AEG230" s="121"/>
      <c r="AEH230" s="121"/>
      <c r="AEI230" s="121"/>
      <c r="AEJ230" s="121"/>
      <c r="AEK230" s="121"/>
      <c r="AEL230" s="121"/>
      <c r="AEM230" s="121"/>
      <c r="AEN230" s="121"/>
      <c r="AEO230" s="121"/>
      <c r="AEP230" s="121"/>
      <c r="AEQ230" s="121"/>
      <c r="AER230" s="121"/>
      <c r="AES230" s="121"/>
      <c r="AET230" s="121"/>
      <c r="AEU230" s="121"/>
      <c r="AEV230" s="121"/>
      <c r="AEW230" s="121"/>
      <c r="AEX230" s="121"/>
      <c r="AEY230" s="121"/>
      <c r="AEZ230" s="121"/>
      <c r="AFA230" s="121"/>
      <c r="AFB230" s="121"/>
      <c r="AFC230" s="121"/>
      <c r="AFD230" s="121"/>
      <c r="AFE230" s="121"/>
      <c r="AFF230" s="121"/>
      <c r="AFG230" s="121"/>
      <c r="AFH230" s="121"/>
      <c r="AFI230" s="121"/>
      <c r="AFJ230" s="121"/>
      <c r="AFK230" s="121"/>
      <c r="AFL230" s="121"/>
      <c r="AFM230" s="121"/>
      <c r="AFN230" s="121"/>
      <c r="AFO230" s="121"/>
      <c r="AFP230" s="121"/>
      <c r="AFQ230" s="121"/>
      <c r="AFR230" s="121"/>
      <c r="AFS230" s="121"/>
      <c r="AFT230" s="121"/>
      <c r="AFU230" s="121"/>
      <c r="AFV230" s="121"/>
      <c r="AFW230" s="121"/>
      <c r="AFX230" s="121"/>
      <c r="AFY230" s="121"/>
      <c r="AFZ230" s="121"/>
      <c r="AGA230" s="121"/>
      <c r="AGB230" s="121"/>
      <c r="AGC230" s="121"/>
      <c r="AGD230" s="121"/>
      <c r="AGE230" s="121"/>
    </row>
    <row r="231" spans="1:863" ht="17.25" customHeight="1" x14ac:dyDescent="0.3">
      <c r="A231" s="390">
        <v>43375</v>
      </c>
      <c r="B231" s="362" t="s">
        <v>177</v>
      </c>
      <c r="C231" s="44" t="s">
        <v>31</v>
      </c>
      <c r="D231" s="48" t="s">
        <v>30</v>
      </c>
      <c r="E231" s="44" t="s">
        <v>81</v>
      </c>
      <c r="F231" s="44">
        <v>77</v>
      </c>
      <c r="G231" s="44">
        <v>252</v>
      </c>
      <c r="H231" s="453">
        <v>2900</v>
      </c>
      <c r="I231" s="44">
        <v>2537.5</v>
      </c>
      <c r="J231" s="61"/>
      <c r="K231" s="194"/>
      <c r="L231" s="228"/>
    </row>
    <row r="232" spans="1:863" ht="17.25" customHeight="1" x14ac:dyDescent="0.3">
      <c r="A232" s="390">
        <v>43375</v>
      </c>
      <c r="B232" s="362" t="s">
        <v>177</v>
      </c>
      <c r="C232" s="44" t="s">
        <v>31</v>
      </c>
      <c r="D232" s="48" t="s">
        <v>30</v>
      </c>
      <c r="E232" s="44" t="s">
        <v>81</v>
      </c>
      <c r="F232" s="44">
        <v>81</v>
      </c>
      <c r="G232" s="44">
        <v>36</v>
      </c>
      <c r="H232" s="454"/>
      <c r="I232" s="44">
        <v>362.5</v>
      </c>
      <c r="J232" s="61"/>
      <c r="K232" s="194"/>
      <c r="L232" s="228"/>
    </row>
    <row r="233" spans="1:863" ht="17.25" customHeight="1" x14ac:dyDescent="0.3">
      <c r="A233" s="390">
        <v>43375</v>
      </c>
      <c r="B233" s="56" t="s">
        <v>178</v>
      </c>
      <c r="C233" s="44" t="s">
        <v>31</v>
      </c>
      <c r="D233" s="48" t="s">
        <v>30</v>
      </c>
      <c r="E233" s="44" t="s">
        <v>81</v>
      </c>
      <c r="F233" s="44">
        <v>86</v>
      </c>
      <c r="G233" s="44">
        <v>360</v>
      </c>
      <c r="H233" s="38">
        <v>3500</v>
      </c>
      <c r="I233" s="44">
        <v>3500</v>
      </c>
      <c r="J233" s="61"/>
      <c r="K233" s="194"/>
      <c r="L233" s="228"/>
    </row>
    <row r="234" spans="1:863" ht="17.25" customHeight="1" x14ac:dyDescent="0.3">
      <c r="A234" s="390">
        <v>43375</v>
      </c>
      <c r="B234" s="362" t="s">
        <v>179</v>
      </c>
      <c r="C234" s="44" t="s">
        <v>31</v>
      </c>
      <c r="D234" s="48" t="s">
        <v>30</v>
      </c>
      <c r="E234" s="44" t="s">
        <v>81</v>
      </c>
      <c r="F234" s="44">
        <v>86</v>
      </c>
      <c r="G234" s="44">
        <v>108</v>
      </c>
      <c r="H234" s="453">
        <v>2800</v>
      </c>
      <c r="I234" s="44">
        <v>1050</v>
      </c>
      <c r="J234" s="61"/>
      <c r="K234" s="194"/>
      <c r="L234" s="228"/>
    </row>
    <row r="235" spans="1:863" ht="17.25" customHeight="1" x14ac:dyDescent="0.3">
      <c r="A235" s="390">
        <v>43375</v>
      </c>
      <c r="B235" s="362" t="s">
        <v>179</v>
      </c>
      <c r="C235" s="44" t="s">
        <v>31</v>
      </c>
      <c r="D235" s="48" t="s">
        <v>30</v>
      </c>
      <c r="E235" s="44" t="s">
        <v>81</v>
      </c>
      <c r="F235" s="44">
        <v>87</v>
      </c>
      <c r="G235" s="44">
        <v>72</v>
      </c>
      <c r="H235" s="458"/>
      <c r="I235" s="44">
        <v>700</v>
      </c>
      <c r="J235" s="61"/>
      <c r="K235" s="194"/>
      <c r="L235" s="228"/>
    </row>
    <row r="236" spans="1:863" ht="17.25" customHeight="1" x14ac:dyDescent="0.3">
      <c r="A236" s="390">
        <v>43375</v>
      </c>
      <c r="B236" s="362" t="s">
        <v>179</v>
      </c>
      <c r="C236" s="44" t="s">
        <v>31</v>
      </c>
      <c r="D236" s="48" t="s">
        <v>30</v>
      </c>
      <c r="E236" s="44" t="s">
        <v>81</v>
      </c>
      <c r="F236" s="44">
        <v>88</v>
      </c>
      <c r="G236" s="44">
        <v>108</v>
      </c>
      <c r="H236" s="454"/>
      <c r="I236" s="44">
        <v>1050</v>
      </c>
      <c r="J236" s="61"/>
      <c r="K236" s="194"/>
      <c r="L236" s="228"/>
    </row>
    <row r="237" spans="1:863" ht="17.25" customHeight="1" x14ac:dyDescent="0.3">
      <c r="A237" s="390">
        <v>43375</v>
      </c>
      <c r="B237" s="56" t="s">
        <v>180</v>
      </c>
      <c r="C237" s="44" t="s">
        <v>31</v>
      </c>
      <c r="D237" s="48" t="s">
        <v>30</v>
      </c>
      <c r="E237" s="44" t="s">
        <v>81</v>
      </c>
      <c r="F237" s="44">
        <v>88</v>
      </c>
      <c r="G237" s="44">
        <v>360</v>
      </c>
      <c r="H237" s="38">
        <v>3390</v>
      </c>
      <c r="I237" s="44">
        <v>3390</v>
      </c>
      <c r="J237" s="61"/>
      <c r="K237" s="194"/>
      <c r="L237" s="228"/>
    </row>
    <row r="238" spans="1:863" ht="17.25" customHeight="1" x14ac:dyDescent="0.3">
      <c r="A238" s="390">
        <v>43375</v>
      </c>
      <c r="B238" s="56" t="s">
        <v>181</v>
      </c>
      <c r="C238" s="44" t="s">
        <v>31</v>
      </c>
      <c r="D238" s="48" t="s">
        <v>30</v>
      </c>
      <c r="E238" s="44" t="s">
        <v>81</v>
      </c>
      <c r="F238" s="44">
        <v>88</v>
      </c>
      <c r="G238" s="44">
        <v>360</v>
      </c>
      <c r="H238" s="38">
        <v>3580</v>
      </c>
      <c r="I238" s="44">
        <v>3580</v>
      </c>
      <c r="J238" s="61"/>
      <c r="K238" s="194"/>
      <c r="L238" s="228"/>
    </row>
    <row r="239" spans="1:863" ht="17.25" customHeight="1" x14ac:dyDescent="0.3">
      <c r="A239" s="390">
        <v>43375</v>
      </c>
      <c r="B239" s="362" t="s">
        <v>182</v>
      </c>
      <c r="C239" s="44" t="s">
        <v>31</v>
      </c>
      <c r="D239" s="48" t="s">
        <v>30</v>
      </c>
      <c r="E239" s="44" t="s">
        <v>81</v>
      </c>
      <c r="F239" s="44">
        <v>77</v>
      </c>
      <c r="G239" s="44">
        <v>144</v>
      </c>
      <c r="H239" s="453">
        <v>3510</v>
      </c>
      <c r="I239" s="44">
        <v>1404</v>
      </c>
      <c r="J239" s="61"/>
      <c r="K239" s="194"/>
      <c r="L239" s="228"/>
    </row>
    <row r="240" spans="1:863" ht="17.25" customHeight="1" x14ac:dyDescent="0.3">
      <c r="A240" s="390">
        <v>43375</v>
      </c>
      <c r="B240" s="362" t="s">
        <v>182</v>
      </c>
      <c r="C240" s="44" t="s">
        <v>31</v>
      </c>
      <c r="D240" s="48" t="s">
        <v>30</v>
      </c>
      <c r="E240" s="44" t="s">
        <v>81</v>
      </c>
      <c r="F240" s="44">
        <v>81</v>
      </c>
      <c r="G240" s="44">
        <v>216</v>
      </c>
      <c r="H240" s="454"/>
      <c r="I240" s="44">
        <v>2106</v>
      </c>
      <c r="J240" s="61"/>
      <c r="K240" s="194"/>
      <c r="L240" s="228"/>
    </row>
    <row r="241" spans="1:12" ht="17.25" customHeight="1" x14ac:dyDescent="0.3">
      <c r="A241" s="390">
        <v>43375</v>
      </c>
      <c r="B241" s="362" t="s">
        <v>183</v>
      </c>
      <c r="C241" s="44" t="s">
        <v>31</v>
      </c>
      <c r="D241" s="48" t="s">
        <v>30</v>
      </c>
      <c r="E241" s="44" t="s">
        <v>81</v>
      </c>
      <c r="F241" s="44">
        <v>87</v>
      </c>
      <c r="G241" s="44">
        <v>72</v>
      </c>
      <c r="H241" s="453">
        <v>2810</v>
      </c>
      <c r="I241" s="44">
        <v>702.5</v>
      </c>
      <c r="J241" s="61"/>
      <c r="K241" s="194"/>
      <c r="L241" s="228"/>
    </row>
    <row r="242" spans="1:12" ht="17.25" customHeight="1" x14ac:dyDescent="0.3">
      <c r="A242" s="390">
        <v>43375</v>
      </c>
      <c r="B242" s="362" t="s">
        <v>183</v>
      </c>
      <c r="C242" s="44" t="s">
        <v>31</v>
      </c>
      <c r="D242" s="48" t="s">
        <v>30</v>
      </c>
      <c r="E242" s="44" t="s">
        <v>81</v>
      </c>
      <c r="F242" s="44">
        <v>88</v>
      </c>
      <c r="G242" s="44">
        <v>216</v>
      </c>
      <c r="H242" s="454"/>
      <c r="I242" s="44">
        <v>2107.5</v>
      </c>
      <c r="J242" s="61"/>
      <c r="K242" s="194"/>
      <c r="L242" s="228"/>
    </row>
    <row r="243" spans="1:12" ht="17.25" customHeight="1" x14ac:dyDescent="0.3">
      <c r="A243" s="390">
        <v>43375</v>
      </c>
      <c r="B243" s="362" t="s">
        <v>184</v>
      </c>
      <c r="C243" s="44" t="s">
        <v>31</v>
      </c>
      <c r="D243" s="48" t="s">
        <v>30</v>
      </c>
      <c r="E243" s="44" t="s">
        <v>81</v>
      </c>
      <c r="F243" s="44">
        <v>77</v>
      </c>
      <c r="G243" s="44">
        <v>144</v>
      </c>
      <c r="H243" s="453">
        <v>2960</v>
      </c>
      <c r="I243" s="44">
        <v>1480</v>
      </c>
      <c r="J243" s="61"/>
      <c r="K243" s="194"/>
      <c r="L243" s="228"/>
    </row>
    <row r="244" spans="1:12" ht="17.25" customHeight="1" x14ac:dyDescent="0.3">
      <c r="A244" s="390">
        <v>43375</v>
      </c>
      <c r="B244" s="362" t="s">
        <v>184</v>
      </c>
      <c r="C244" s="44" t="s">
        <v>31</v>
      </c>
      <c r="D244" s="48" t="s">
        <v>30</v>
      </c>
      <c r="E244" s="44" t="s">
        <v>81</v>
      </c>
      <c r="F244" s="44">
        <v>81</v>
      </c>
      <c r="G244" s="44">
        <v>144</v>
      </c>
      <c r="H244" s="454"/>
      <c r="I244" s="44">
        <v>1480</v>
      </c>
      <c r="J244" s="61"/>
      <c r="K244" s="194"/>
      <c r="L244" s="228"/>
    </row>
    <row r="245" spans="1:12" ht="17.25" customHeight="1" x14ac:dyDescent="0.3">
      <c r="A245" s="390">
        <v>43375</v>
      </c>
      <c r="B245" s="299" t="s">
        <v>185</v>
      </c>
      <c r="C245" s="44" t="s">
        <v>31</v>
      </c>
      <c r="D245" s="48" t="s">
        <v>30</v>
      </c>
      <c r="E245" s="44" t="s">
        <v>81</v>
      </c>
      <c r="F245" s="44">
        <v>86</v>
      </c>
      <c r="G245" s="44">
        <v>288</v>
      </c>
      <c r="H245" s="38">
        <v>2810</v>
      </c>
      <c r="I245" s="44">
        <v>2810</v>
      </c>
      <c r="J245" s="61"/>
      <c r="K245" s="194"/>
      <c r="L245" s="228"/>
    </row>
    <row r="246" spans="1:12" ht="17.25" customHeight="1" x14ac:dyDescent="0.3">
      <c r="A246" s="390">
        <v>43375</v>
      </c>
      <c r="B246" s="369" t="s">
        <v>186</v>
      </c>
      <c r="C246" s="44" t="s">
        <v>31</v>
      </c>
      <c r="D246" s="48" t="s">
        <v>30</v>
      </c>
      <c r="E246" s="44" t="s">
        <v>81</v>
      </c>
      <c r="F246" s="44">
        <v>86</v>
      </c>
      <c r="G246" s="44">
        <v>324</v>
      </c>
      <c r="H246" s="453">
        <v>3360</v>
      </c>
      <c r="I246" s="44">
        <v>3024</v>
      </c>
      <c r="J246" s="61"/>
      <c r="K246" s="194"/>
      <c r="L246" s="228"/>
    </row>
    <row r="247" spans="1:12" ht="17.25" customHeight="1" x14ac:dyDescent="0.3">
      <c r="A247" s="390">
        <v>43375</v>
      </c>
      <c r="B247" s="369" t="s">
        <v>186</v>
      </c>
      <c r="C247" s="44" t="s">
        <v>31</v>
      </c>
      <c r="D247" s="48" t="s">
        <v>30</v>
      </c>
      <c r="E247" s="44" t="s">
        <v>81</v>
      </c>
      <c r="F247" s="44">
        <v>87</v>
      </c>
      <c r="G247" s="44">
        <v>36</v>
      </c>
      <c r="H247" s="454"/>
      <c r="I247" s="44">
        <v>336</v>
      </c>
      <c r="J247" s="61"/>
      <c r="K247" s="194"/>
      <c r="L247" s="228"/>
    </row>
    <row r="248" spans="1:12" ht="17.25" customHeight="1" x14ac:dyDescent="0.3">
      <c r="A248" s="390">
        <v>43375</v>
      </c>
      <c r="B248" s="56" t="s">
        <v>187</v>
      </c>
      <c r="C248" s="44" t="s">
        <v>31</v>
      </c>
      <c r="D248" s="48" t="s">
        <v>30</v>
      </c>
      <c r="E248" s="44" t="s">
        <v>81</v>
      </c>
      <c r="F248" s="44">
        <v>88</v>
      </c>
      <c r="G248" s="44">
        <v>288</v>
      </c>
      <c r="H248" s="38">
        <v>2770</v>
      </c>
      <c r="I248" s="44">
        <v>2770</v>
      </c>
      <c r="J248" s="61"/>
      <c r="K248" s="194"/>
      <c r="L248" s="228"/>
    </row>
    <row r="249" spans="1:12" ht="17.25" customHeight="1" x14ac:dyDescent="0.3">
      <c r="A249" s="390">
        <v>43375</v>
      </c>
      <c r="B249" s="362" t="s">
        <v>188</v>
      </c>
      <c r="C249" s="44" t="s">
        <v>31</v>
      </c>
      <c r="D249" s="48" t="s">
        <v>30</v>
      </c>
      <c r="E249" s="44" t="s">
        <v>81</v>
      </c>
      <c r="F249" s="44">
        <v>86</v>
      </c>
      <c r="G249" s="44">
        <v>144</v>
      </c>
      <c r="H249" s="453">
        <v>3540</v>
      </c>
      <c r="I249" s="44">
        <v>1416</v>
      </c>
      <c r="J249" s="61"/>
      <c r="K249" s="194"/>
      <c r="L249" s="228"/>
    </row>
    <row r="250" spans="1:12" ht="17.25" customHeight="1" x14ac:dyDescent="0.3">
      <c r="A250" s="390">
        <v>43375</v>
      </c>
      <c r="B250" s="362" t="s">
        <v>188</v>
      </c>
      <c r="C250" s="44" t="s">
        <v>31</v>
      </c>
      <c r="D250" s="48" t="s">
        <v>30</v>
      </c>
      <c r="E250" s="44" t="s">
        <v>81</v>
      </c>
      <c r="F250" s="44">
        <v>87</v>
      </c>
      <c r="G250" s="44">
        <v>36</v>
      </c>
      <c r="H250" s="458"/>
      <c r="I250" s="44">
        <v>354</v>
      </c>
      <c r="J250" s="61"/>
      <c r="K250" s="194"/>
      <c r="L250" s="228"/>
    </row>
    <row r="251" spans="1:12" ht="17.25" customHeight="1" x14ac:dyDescent="0.3">
      <c r="A251" s="390">
        <v>43375</v>
      </c>
      <c r="B251" s="362" t="s">
        <v>188</v>
      </c>
      <c r="C251" s="44" t="s">
        <v>31</v>
      </c>
      <c r="D251" s="48" t="s">
        <v>30</v>
      </c>
      <c r="E251" s="44" t="s">
        <v>81</v>
      </c>
      <c r="F251" s="44">
        <v>88</v>
      </c>
      <c r="G251" s="44">
        <v>180</v>
      </c>
      <c r="H251" s="454"/>
      <c r="I251" s="44">
        <v>1770</v>
      </c>
      <c r="J251" s="61"/>
      <c r="K251" s="194"/>
      <c r="L251" s="228"/>
    </row>
    <row r="252" spans="1:12" ht="17.25" customHeight="1" x14ac:dyDescent="0.3">
      <c r="A252" s="390">
        <v>43375</v>
      </c>
      <c r="B252" s="362" t="s">
        <v>189</v>
      </c>
      <c r="C252" s="44" t="s">
        <v>31</v>
      </c>
      <c r="D252" s="48" t="s">
        <v>30</v>
      </c>
      <c r="E252" s="44" t="s">
        <v>81</v>
      </c>
      <c r="F252" s="44">
        <v>84</v>
      </c>
      <c r="G252" s="44">
        <v>252</v>
      </c>
      <c r="H252" s="453">
        <v>3110</v>
      </c>
      <c r="I252" s="44">
        <v>2721.25</v>
      </c>
      <c r="J252" s="61"/>
      <c r="K252" s="194"/>
      <c r="L252" s="228"/>
    </row>
    <row r="253" spans="1:12" ht="17.25" customHeight="1" x14ac:dyDescent="0.3">
      <c r="A253" s="390">
        <v>43375</v>
      </c>
      <c r="B253" s="362" t="s">
        <v>189</v>
      </c>
      <c r="C253" s="44" t="s">
        <v>31</v>
      </c>
      <c r="D253" s="48" t="s">
        <v>30</v>
      </c>
      <c r="E253" s="44" t="s">
        <v>81</v>
      </c>
      <c r="F253" s="44">
        <v>88</v>
      </c>
      <c r="G253" s="44">
        <v>36</v>
      </c>
      <c r="H253" s="454"/>
      <c r="I253" s="44">
        <v>388.75</v>
      </c>
      <c r="J253" s="61"/>
      <c r="K253" s="194"/>
      <c r="L253" s="228"/>
    </row>
    <row r="254" spans="1:12" ht="17.25" customHeight="1" x14ac:dyDescent="0.3">
      <c r="A254" s="390">
        <v>43375</v>
      </c>
      <c r="B254" s="362" t="s">
        <v>190</v>
      </c>
      <c r="C254" s="44" t="s">
        <v>31</v>
      </c>
      <c r="D254" s="48" t="s">
        <v>30</v>
      </c>
      <c r="E254" s="44" t="s">
        <v>81</v>
      </c>
      <c r="F254" s="44">
        <v>86</v>
      </c>
      <c r="G254" s="44">
        <v>180</v>
      </c>
      <c r="H254" s="453">
        <v>2860</v>
      </c>
      <c r="I254" s="44">
        <v>1787.5</v>
      </c>
      <c r="J254" s="61"/>
      <c r="K254" s="194"/>
      <c r="L254" s="228"/>
    </row>
    <row r="255" spans="1:12" ht="17.25" customHeight="1" x14ac:dyDescent="0.3">
      <c r="A255" s="390">
        <v>43375</v>
      </c>
      <c r="B255" s="362" t="s">
        <v>190</v>
      </c>
      <c r="C255" s="44" t="s">
        <v>31</v>
      </c>
      <c r="D255" s="48" t="s">
        <v>30</v>
      </c>
      <c r="E255" s="44" t="s">
        <v>81</v>
      </c>
      <c r="F255" s="44">
        <v>87</v>
      </c>
      <c r="G255" s="44">
        <v>72</v>
      </c>
      <c r="H255" s="458"/>
      <c r="I255" s="44">
        <v>715</v>
      </c>
      <c r="J255" s="61"/>
      <c r="K255" s="194"/>
      <c r="L255" s="228"/>
    </row>
    <row r="256" spans="1:12" ht="17.25" customHeight="1" x14ac:dyDescent="0.3">
      <c r="A256" s="390">
        <v>43375</v>
      </c>
      <c r="B256" s="362" t="s">
        <v>190</v>
      </c>
      <c r="C256" s="44" t="s">
        <v>31</v>
      </c>
      <c r="D256" s="48" t="s">
        <v>30</v>
      </c>
      <c r="E256" s="44" t="s">
        <v>81</v>
      </c>
      <c r="F256" s="44">
        <v>88</v>
      </c>
      <c r="G256" s="44">
        <v>36</v>
      </c>
      <c r="H256" s="454"/>
      <c r="I256" s="44">
        <v>357.5</v>
      </c>
      <c r="J256" s="61"/>
      <c r="K256" s="194"/>
      <c r="L256" s="228"/>
    </row>
    <row r="257" spans="1:12" ht="17.25" customHeight="1" x14ac:dyDescent="0.3">
      <c r="A257" s="390">
        <v>43375</v>
      </c>
      <c r="B257" s="362" t="s">
        <v>191</v>
      </c>
      <c r="C257" s="44" t="s">
        <v>31</v>
      </c>
      <c r="D257" s="48" t="s">
        <v>30</v>
      </c>
      <c r="E257" s="44" t="s">
        <v>81</v>
      </c>
      <c r="F257" s="44">
        <v>86</v>
      </c>
      <c r="G257" s="44">
        <v>144</v>
      </c>
      <c r="H257" s="453">
        <v>3480</v>
      </c>
      <c r="I257" s="44">
        <v>1392</v>
      </c>
      <c r="J257" s="61"/>
      <c r="K257" s="194"/>
      <c r="L257" s="228"/>
    </row>
    <row r="258" spans="1:12" ht="17.25" customHeight="1" x14ac:dyDescent="0.3">
      <c r="A258" s="390">
        <v>43375</v>
      </c>
      <c r="B258" s="362" t="s">
        <v>191</v>
      </c>
      <c r="C258" s="44" t="s">
        <v>31</v>
      </c>
      <c r="D258" s="48" t="s">
        <v>30</v>
      </c>
      <c r="E258" s="44" t="s">
        <v>81</v>
      </c>
      <c r="F258" s="44">
        <v>88</v>
      </c>
      <c r="G258" s="44">
        <v>216</v>
      </c>
      <c r="H258" s="454"/>
      <c r="I258" s="44">
        <v>2088</v>
      </c>
      <c r="J258" s="61"/>
      <c r="K258" s="194"/>
      <c r="L258" s="228"/>
    </row>
    <row r="259" spans="1:12" ht="17.25" customHeight="1" x14ac:dyDescent="0.3">
      <c r="A259" s="390">
        <v>43375</v>
      </c>
      <c r="B259" s="362" t="s">
        <v>192</v>
      </c>
      <c r="C259" s="44" t="s">
        <v>31</v>
      </c>
      <c r="D259" s="48" t="s">
        <v>30</v>
      </c>
      <c r="E259" s="44" t="s">
        <v>81</v>
      </c>
      <c r="F259" s="44">
        <v>84</v>
      </c>
      <c r="G259" s="44">
        <v>144</v>
      </c>
      <c r="H259" s="439">
        <v>2850</v>
      </c>
      <c r="I259" s="48">
        <v>1425</v>
      </c>
      <c r="J259" s="61"/>
      <c r="K259" s="194"/>
      <c r="L259" s="228"/>
    </row>
    <row r="260" spans="1:12" ht="17.25" customHeight="1" x14ac:dyDescent="0.3">
      <c r="A260" s="390">
        <v>43375</v>
      </c>
      <c r="B260" s="362" t="s">
        <v>192</v>
      </c>
      <c r="C260" s="44" t="s">
        <v>31</v>
      </c>
      <c r="D260" s="48" t="s">
        <v>30</v>
      </c>
      <c r="E260" s="44" t="s">
        <v>81</v>
      </c>
      <c r="F260" s="44">
        <v>86</v>
      </c>
      <c r="G260" s="44">
        <v>36</v>
      </c>
      <c r="H260" s="444"/>
      <c r="I260" s="48">
        <v>356.25</v>
      </c>
      <c r="J260" s="61"/>
      <c r="K260" s="194"/>
      <c r="L260" s="228"/>
    </row>
    <row r="261" spans="1:12" ht="17.25" customHeight="1" x14ac:dyDescent="0.3">
      <c r="A261" s="390">
        <v>43375</v>
      </c>
      <c r="B261" s="362" t="s">
        <v>192</v>
      </c>
      <c r="C261" s="44" t="s">
        <v>31</v>
      </c>
      <c r="D261" s="48" t="s">
        <v>30</v>
      </c>
      <c r="E261" s="44" t="s">
        <v>81</v>
      </c>
      <c r="F261" s="44">
        <v>87</v>
      </c>
      <c r="G261" s="44">
        <v>72</v>
      </c>
      <c r="H261" s="444"/>
      <c r="I261" s="48">
        <v>712.5</v>
      </c>
      <c r="J261" s="61"/>
      <c r="K261" s="194"/>
      <c r="L261" s="228"/>
    </row>
    <row r="262" spans="1:12" ht="17.25" customHeight="1" x14ac:dyDescent="0.3">
      <c r="A262" s="390">
        <v>43375</v>
      </c>
      <c r="B262" s="362" t="s">
        <v>192</v>
      </c>
      <c r="C262" s="44" t="s">
        <v>31</v>
      </c>
      <c r="D262" s="48" t="s">
        <v>30</v>
      </c>
      <c r="E262" s="44" t="s">
        <v>81</v>
      </c>
      <c r="F262" s="44">
        <v>88</v>
      </c>
      <c r="G262" s="44">
        <v>36</v>
      </c>
      <c r="H262" s="440"/>
      <c r="I262" s="48">
        <v>356.25</v>
      </c>
      <c r="J262" s="61"/>
      <c r="K262" s="194"/>
      <c r="L262" s="228"/>
    </row>
    <row r="263" spans="1:12" ht="17.25" customHeight="1" x14ac:dyDescent="0.3">
      <c r="A263" s="390">
        <v>43375</v>
      </c>
      <c r="B263" s="362" t="s">
        <v>193</v>
      </c>
      <c r="C263" s="44" t="s">
        <v>31</v>
      </c>
      <c r="D263" s="48" t="s">
        <v>30</v>
      </c>
      <c r="E263" s="44" t="s">
        <v>81</v>
      </c>
      <c r="F263" s="44">
        <v>77</v>
      </c>
      <c r="G263" s="44">
        <v>144</v>
      </c>
      <c r="H263" s="439">
        <v>3590</v>
      </c>
      <c r="I263" s="44">
        <v>1436</v>
      </c>
      <c r="J263" s="61"/>
      <c r="K263" s="194"/>
      <c r="L263" s="228"/>
    </row>
    <row r="264" spans="1:12" ht="17.25" customHeight="1" x14ac:dyDescent="0.3">
      <c r="A264" s="390">
        <v>43375</v>
      </c>
      <c r="B264" s="362" t="s">
        <v>193</v>
      </c>
      <c r="C264" s="44" t="s">
        <v>31</v>
      </c>
      <c r="D264" s="48" t="s">
        <v>30</v>
      </c>
      <c r="E264" s="44" t="s">
        <v>81</v>
      </c>
      <c r="F264" s="44">
        <v>81</v>
      </c>
      <c r="G264" s="44">
        <v>216</v>
      </c>
      <c r="H264" s="440"/>
      <c r="I264" s="44">
        <v>2154</v>
      </c>
      <c r="J264" s="61"/>
      <c r="K264" s="194"/>
      <c r="L264" s="228"/>
    </row>
    <row r="265" spans="1:12" ht="17.25" customHeight="1" x14ac:dyDescent="0.3">
      <c r="A265" s="390">
        <v>43375</v>
      </c>
      <c r="B265" s="362" t="s">
        <v>194</v>
      </c>
      <c r="C265" s="44" t="s">
        <v>31</v>
      </c>
      <c r="D265" s="48" t="s">
        <v>30</v>
      </c>
      <c r="E265" s="44" t="s">
        <v>81</v>
      </c>
      <c r="F265" s="44">
        <v>86</v>
      </c>
      <c r="G265" s="44">
        <v>216</v>
      </c>
      <c r="H265" s="439">
        <v>3630</v>
      </c>
      <c r="I265" s="44">
        <v>2178</v>
      </c>
      <c r="J265" s="61"/>
      <c r="K265" s="194"/>
      <c r="L265" s="228"/>
    </row>
    <row r="266" spans="1:12" ht="17.25" customHeight="1" x14ac:dyDescent="0.3">
      <c r="A266" s="390">
        <v>43375</v>
      </c>
      <c r="B266" s="362" t="s">
        <v>194</v>
      </c>
      <c r="C266" s="44" t="s">
        <v>31</v>
      </c>
      <c r="D266" s="48" t="s">
        <v>30</v>
      </c>
      <c r="E266" s="44" t="s">
        <v>81</v>
      </c>
      <c r="F266" s="44">
        <v>88</v>
      </c>
      <c r="G266" s="44">
        <v>144</v>
      </c>
      <c r="H266" s="440"/>
      <c r="I266" s="44">
        <v>1452</v>
      </c>
      <c r="J266" s="61"/>
      <c r="K266" s="194"/>
      <c r="L266" s="228"/>
    </row>
    <row r="267" spans="1:12" ht="17.25" customHeight="1" x14ac:dyDescent="0.3">
      <c r="A267" s="390">
        <v>43375</v>
      </c>
      <c r="B267" s="362" t="s">
        <v>195</v>
      </c>
      <c r="C267" s="44" t="s">
        <v>31</v>
      </c>
      <c r="D267" s="48" t="s">
        <v>30</v>
      </c>
      <c r="E267" s="44" t="s">
        <v>81</v>
      </c>
      <c r="F267" s="44">
        <v>86</v>
      </c>
      <c r="G267" s="44">
        <v>216</v>
      </c>
      <c r="H267" s="439">
        <v>2810</v>
      </c>
      <c r="I267" s="44">
        <v>2107.5</v>
      </c>
      <c r="J267" s="61"/>
      <c r="K267" s="194"/>
      <c r="L267" s="228"/>
    </row>
    <row r="268" spans="1:12" ht="17.25" customHeight="1" x14ac:dyDescent="0.3">
      <c r="A268" s="390">
        <v>43375</v>
      </c>
      <c r="B268" s="362" t="s">
        <v>195</v>
      </c>
      <c r="C268" s="44" t="s">
        <v>31</v>
      </c>
      <c r="D268" s="48" t="s">
        <v>30</v>
      </c>
      <c r="E268" s="44" t="s">
        <v>81</v>
      </c>
      <c r="F268" s="44">
        <v>88</v>
      </c>
      <c r="G268" s="44">
        <v>72</v>
      </c>
      <c r="H268" s="440"/>
      <c r="I268" s="44">
        <v>702.5</v>
      </c>
      <c r="J268" s="61"/>
      <c r="K268" s="194"/>
      <c r="L268" s="228"/>
    </row>
    <row r="269" spans="1:12" ht="17.25" customHeight="1" x14ac:dyDescent="0.3">
      <c r="A269" s="390">
        <v>43375</v>
      </c>
      <c r="B269" s="56" t="s">
        <v>196</v>
      </c>
      <c r="C269" s="44" t="s">
        <v>31</v>
      </c>
      <c r="D269" s="48" t="s">
        <v>30</v>
      </c>
      <c r="E269" s="44" t="s">
        <v>81</v>
      </c>
      <c r="F269" s="44">
        <v>86</v>
      </c>
      <c r="G269" s="44">
        <v>288</v>
      </c>
      <c r="H269" s="45">
        <v>2970</v>
      </c>
      <c r="I269" s="44">
        <v>2970</v>
      </c>
      <c r="J269" s="61"/>
      <c r="K269" s="194"/>
      <c r="L269" s="228"/>
    </row>
    <row r="270" spans="1:12" ht="17.25" customHeight="1" x14ac:dyDescent="0.3">
      <c r="A270" s="390">
        <v>43375</v>
      </c>
      <c r="B270" s="362" t="s">
        <v>197</v>
      </c>
      <c r="C270" s="44" t="s">
        <v>31</v>
      </c>
      <c r="D270" s="48" t="s">
        <v>30</v>
      </c>
      <c r="E270" s="44" t="s">
        <v>81</v>
      </c>
      <c r="F270" s="44">
        <v>77</v>
      </c>
      <c r="G270" s="44">
        <v>180</v>
      </c>
      <c r="H270" s="453">
        <v>3580</v>
      </c>
      <c r="I270" s="44">
        <v>1790</v>
      </c>
      <c r="J270" s="61"/>
      <c r="K270" s="194"/>
      <c r="L270" s="228"/>
    </row>
    <row r="271" spans="1:12" ht="17.25" customHeight="1" x14ac:dyDescent="0.3">
      <c r="A271" s="390">
        <v>43375</v>
      </c>
      <c r="B271" s="362" t="s">
        <v>197</v>
      </c>
      <c r="C271" s="44" t="s">
        <v>31</v>
      </c>
      <c r="D271" s="48" t="s">
        <v>30</v>
      </c>
      <c r="E271" s="44" t="s">
        <v>81</v>
      </c>
      <c r="F271" s="44">
        <v>81</v>
      </c>
      <c r="G271" s="44">
        <v>180</v>
      </c>
      <c r="H271" s="454"/>
      <c r="I271" s="44">
        <v>1790</v>
      </c>
      <c r="J271" s="61"/>
      <c r="K271" s="194"/>
      <c r="L271" s="228"/>
    </row>
    <row r="272" spans="1:12" ht="17.25" customHeight="1" x14ac:dyDescent="0.3">
      <c r="A272" s="390">
        <v>43375</v>
      </c>
      <c r="B272" s="362" t="s">
        <v>198</v>
      </c>
      <c r="C272" s="44" t="s">
        <v>31</v>
      </c>
      <c r="D272" s="48" t="s">
        <v>30</v>
      </c>
      <c r="E272" s="44" t="s">
        <v>81</v>
      </c>
      <c r="F272" s="44">
        <v>84</v>
      </c>
      <c r="G272" s="44">
        <v>144</v>
      </c>
      <c r="H272" s="453">
        <v>3630</v>
      </c>
      <c r="I272" s="44">
        <v>1452</v>
      </c>
      <c r="J272" s="61"/>
      <c r="K272" s="194"/>
      <c r="L272" s="228"/>
    </row>
    <row r="273" spans="1:13" ht="17.25" customHeight="1" x14ac:dyDescent="0.3">
      <c r="A273" s="390">
        <v>43375</v>
      </c>
      <c r="B273" s="362" t="s">
        <v>198</v>
      </c>
      <c r="C273" s="44" t="s">
        <v>31</v>
      </c>
      <c r="D273" s="48" t="s">
        <v>30</v>
      </c>
      <c r="E273" s="44" t="s">
        <v>81</v>
      </c>
      <c r="F273" s="44">
        <v>86</v>
      </c>
      <c r="G273" s="44">
        <v>108</v>
      </c>
      <c r="H273" s="458"/>
      <c r="I273" s="44">
        <v>1089</v>
      </c>
      <c r="J273" s="61"/>
      <c r="K273" s="194"/>
      <c r="L273" s="228"/>
    </row>
    <row r="274" spans="1:13" ht="17.25" customHeight="1" x14ac:dyDescent="0.3">
      <c r="A274" s="390">
        <v>43375</v>
      </c>
      <c r="B274" s="362" t="s">
        <v>198</v>
      </c>
      <c r="C274" s="44" t="s">
        <v>31</v>
      </c>
      <c r="D274" s="48" t="s">
        <v>30</v>
      </c>
      <c r="E274" s="44" t="s">
        <v>81</v>
      </c>
      <c r="F274" s="44">
        <v>87</v>
      </c>
      <c r="G274" s="44">
        <v>108</v>
      </c>
      <c r="H274" s="454"/>
      <c r="I274" s="44">
        <v>1089</v>
      </c>
      <c r="J274" s="61"/>
      <c r="K274" s="194"/>
      <c r="L274" s="228"/>
    </row>
    <row r="275" spans="1:13" ht="17.25" customHeight="1" x14ac:dyDescent="0.3">
      <c r="A275" s="390">
        <v>43375</v>
      </c>
      <c r="B275" s="56" t="s">
        <v>199</v>
      </c>
      <c r="C275" s="44" t="s">
        <v>31</v>
      </c>
      <c r="D275" s="48" t="s">
        <v>30</v>
      </c>
      <c r="E275" s="44" t="s">
        <v>81</v>
      </c>
      <c r="F275" s="44">
        <v>88</v>
      </c>
      <c r="G275" s="44">
        <v>288</v>
      </c>
      <c r="H275" s="38">
        <v>2820</v>
      </c>
      <c r="I275" s="44">
        <v>2820</v>
      </c>
      <c r="J275" s="61"/>
      <c r="K275" s="194"/>
      <c r="L275" s="228"/>
    </row>
    <row r="276" spans="1:13" ht="15.75" customHeight="1" x14ac:dyDescent="0.25">
      <c r="A276" s="390">
        <v>43375</v>
      </c>
      <c r="B276" s="370" t="s">
        <v>200</v>
      </c>
      <c r="C276" s="92" t="s">
        <v>31</v>
      </c>
      <c r="D276" s="92" t="s">
        <v>30</v>
      </c>
      <c r="E276" s="92" t="s">
        <v>81</v>
      </c>
      <c r="F276" s="92">
        <v>84</v>
      </c>
      <c r="G276" s="92">
        <v>180</v>
      </c>
      <c r="H276" s="501">
        <v>2840</v>
      </c>
      <c r="I276" s="92">
        <v>1775</v>
      </c>
      <c r="J276" s="93"/>
      <c r="K276" s="288" t="s">
        <v>280</v>
      </c>
      <c r="L276" s="289" t="s">
        <v>213</v>
      </c>
      <c r="M276" s="239"/>
    </row>
    <row r="277" spans="1:13" ht="15.75" customHeight="1" x14ac:dyDescent="0.25">
      <c r="A277" s="390">
        <v>43375</v>
      </c>
      <c r="B277" s="370" t="s">
        <v>200</v>
      </c>
      <c r="C277" s="92" t="s">
        <v>31</v>
      </c>
      <c r="D277" s="92" t="s">
        <v>30</v>
      </c>
      <c r="E277" s="92" t="s">
        <v>81</v>
      </c>
      <c r="F277" s="92">
        <v>87</v>
      </c>
      <c r="G277" s="92">
        <v>108</v>
      </c>
      <c r="H277" s="503"/>
      <c r="I277" s="92">
        <v>1065</v>
      </c>
      <c r="J277" s="93"/>
      <c r="K277" s="288" t="s">
        <v>280</v>
      </c>
      <c r="L277" s="289" t="s">
        <v>213</v>
      </c>
      <c r="M277" s="239"/>
    </row>
    <row r="278" spans="1:13" ht="15.75" customHeight="1" x14ac:dyDescent="0.25">
      <c r="A278" s="390">
        <v>43375</v>
      </c>
      <c r="B278" s="370" t="s">
        <v>201</v>
      </c>
      <c r="C278" s="92" t="s">
        <v>31</v>
      </c>
      <c r="D278" s="92" t="s">
        <v>30</v>
      </c>
      <c r="E278" s="92" t="s">
        <v>81</v>
      </c>
      <c r="F278" s="92">
        <v>84</v>
      </c>
      <c r="G278" s="92">
        <v>108</v>
      </c>
      <c r="H278" s="501">
        <v>3440</v>
      </c>
      <c r="I278" s="92">
        <v>1032</v>
      </c>
      <c r="J278" s="93"/>
      <c r="K278" s="288" t="s">
        <v>280</v>
      </c>
      <c r="L278" s="289" t="s">
        <v>213</v>
      </c>
      <c r="M278" s="239"/>
    </row>
    <row r="279" spans="1:13" ht="15.75" customHeight="1" x14ac:dyDescent="0.25">
      <c r="A279" s="390">
        <v>43375</v>
      </c>
      <c r="B279" s="370" t="s">
        <v>201</v>
      </c>
      <c r="C279" s="92" t="s">
        <v>31</v>
      </c>
      <c r="D279" s="92" t="s">
        <v>30</v>
      </c>
      <c r="E279" s="92" t="s">
        <v>81</v>
      </c>
      <c r="F279" s="92">
        <v>86</v>
      </c>
      <c r="G279" s="92">
        <v>252</v>
      </c>
      <c r="H279" s="503"/>
      <c r="I279" s="92">
        <v>2408</v>
      </c>
      <c r="J279" s="93"/>
      <c r="K279" s="288" t="s">
        <v>280</v>
      </c>
      <c r="L279" s="289" t="s">
        <v>213</v>
      </c>
      <c r="M279" s="239"/>
    </row>
    <row r="280" spans="1:13" ht="15.75" customHeight="1" x14ac:dyDescent="0.25">
      <c r="A280" s="390">
        <v>43375</v>
      </c>
      <c r="B280" s="94" t="s">
        <v>202</v>
      </c>
      <c r="C280" s="92" t="s">
        <v>31</v>
      </c>
      <c r="D280" s="92" t="s">
        <v>30</v>
      </c>
      <c r="E280" s="92" t="s">
        <v>81</v>
      </c>
      <c r="F280" s="92">
        <v>88</v>
      </c>
      <c r="G280" s="92">
        <v>288</v>
      </c>
      <c r="H280" s="91">
        <v>2850</v>
      </c>
      <c r="I280" s="92">
        <v>2850</v>
      </c>
      <c r="J280" s="93"/>
      <c r="K280" s="288" t="s">
        <v>280</v>
      </c>
      <c r="L280" s="289" t="s">
        <v>213</v>
      </c>
      <c r="M280" s="239"/>
    </row>
    <row r="281" spans="1:13" ht="15.75" customHeight="1" x14ac:dyDescent="0.25">
      <c r="A281" s="390">
        <v>43375</v>
      </c>
      <c r="B281" s="370" t="s">
        <v>203</v>
      </c>
      <c r="C281" s="92" t="s">
        <v>31</v>
      </c>
      <c r="D281" s="92" t="s">
        <v>30</v>
      </c>
      <c r="E281" s="92" t="s">
        <v>81</v>
      </c>
      <c r="F281" s="92">
        <v>84</v>
      </c>
      <c r="G281" s="92">
        <v>144</v>
      </c>
      <c r="H281" s="501">
        <v>3510</v>
      </c>
      <c r="I281" s="92">
        <v>1404</v>
      </c>
      <c r="J281" s="93"/>
      <c r="K281" s="288" t="s">
        <v>280</v>
      </c>
      <c r="L281" s="289" t="s">
        <v>213</v>
      </c>
      <c r="M281" s="239"/>
    </row>
    <row r="282" spans="1:13" ht="15.75" customHeight="1" x14ac:dyDescent="0.25">
      <c r="A282" s="390">
        <v>43375</v>
      </c>
      <c r="B282" s="370" t="s">
        <v>203</v>
      </c>
      <c r="C282" s="92" t="s">
        <v>31</v>
      </c>
      <c r="D282" s="92" t="s">
        <v>30</v>
      </c>
      <c r="E282" s="92" t="s">
        <v>81</v>
      </c>
      <c r="F282" s="92">
        <v>87</v>
      </c>
      <c r="G282" s="92">
        <v>72</v>
      </c>
      <c r="H282" s="502"/>
      <c r="I282" s="92">
        <v>702</v>
      </c>
      <c r="J282" s="93"/>
      <c r="K282" s="288" t="s">
        <v>280</v>
      </c>
      <c r="L282" s="289" t="s">
        <v>213</v>
      </c>
      <c r="M282" s="239"/>
    </row>
    <row r="283" spans="1:13" ht="15.75" customHeight="1" x14ac:dyDescent="0.25">
      <c r="A283" s="390">
        <v>43375</v>
      </c>
      <c r="B283" s="370" t="s">
        <v>203</v>
      </c>
      <c r="C283" s="92" t="s">
        <v>31</v>
      </c>
      <c r="D283" s="92" t="s">
        <v>30</v>
      </c>
      <c r="E283" s="92" t="s">
        <v>81</v>
      </c>
      <c r="F283" s="92">
        <v>88</v>
      </c>
      <c r="G283" s="92">
        <v>144</v>
      </c>
      <c r="H283" s="503"/>
      <c r="I283" s="92">
        <v>1404</v>
      </c>
      <c r="J283" s="93"/>
      <c r="K283" s="288" t="s">
        <v>280</v>
      </c>
      <c r="L283" s="289" t="s">
        <v>213</v>
      </c>
      <c r="M283" s="239"/>
    </row>
    <row r="284" spans="1:13" ht="15.75" customHeight="1" x14ac:dyDescent="0.25">
      <c r="A284" s="390">
        <v>43375</v>
      </c>
      <c r="B284" s="94" t="s">
        <v>204</v>
      </c>
      <c r="C284" s="92" t="s">
        <v>31</v>
      </c>
      <c r="D284" s="92" t="s">
        <v>30</v>
      </c>
      <c r="E284" s="92" t="s">
        <v>81</v>
      </c>
      <c r="F284" s="92">
        <v>85</v>
      </c>
      <c r="G284" s="92">
        <v>288</v>
      </c>
      <c r="H284" s="91">
        <v>2970</v>
      </c>
      <c r="I284" s="92">
        <v>2970</v>
      </c>
      <c r="J284" s="93"/>
      <c r="K284" s="288" t="s">
        <v>280</v>
      </c>
      <c r="L284" s="289" t="s">
        <v>213</v>
      </c>
      <c r="M284" s="239"/>
    </row>
    <row r="285" spans="1:13" ht="15.75" customHeight="1" x14ac:dyDescent="0.25">
      <c r="A285" s="390">
        <v>43375</v>
      </c>
      <c r="B285" s="94" t="s">
        <v>205</v>
      </c>
      <c r="C285" s="92" t="s">
        <v>31</v>
      </c>
      <c r="D285" s="92" t="s">
        <v>30</v>
      </c>
      <c r="E285" s="92" t="s">
        <v>81</v>
      </c>
      <c r="F285" s="92">
        <v>88</v>
      </c>
      <c r="G285" s="92">
        <v>252</v>
      </c>
      <c r="H285" s="91">
        <v>2440</v>
      </c>
      <c r="I285" s="92">
        <v>2440</v>
      </c>
      <c r="J285" s="93"/>
      <c r="K285" s="288" t="s">
        <v>280</v>
      </c>
      <c r="L285" s="289" t="s">
        <v>213</v>
      </c>
      <c r="M285" s="239"/>
    </row>
    <row r="286" spans="1:13" ht="15.75" customHeight="1" x14ac:dyDescent="0.25">
      <c r="A286" s="390">
        <v>43375</v>
      </c>
      <c r="B286" s="370" t="s">
        <v>206</v>
      </c>
      <c r="C286" s="92" t="s">
        <v>31</v>
      </c>
      <c r="D286" s="92" t="s">
        <v>30</v>
      </c>
      <c r="E286" s="92" t="s">
        <v>81</v>
      </c>
      <c r="F286" s="92">
        <v>77</v>
      </c>
      <c r="G286" s="92">
        <v>252</v>
      </c>
      <c r="H286" s="501">
        <v>2960</v>
      </c>
      <c r="I286" s="92">
        <v>2590</v>
      </c>
      <c r="J286" s="93"/>
      <c r="K286" s="288" t="s">
        <v>280</v>
      </c>
      <c r="L286" s="289" t="s">
        <v>213</v>
      </c>
      <c r="M286" s="239"/>
    </row>
    <row r="287" spans="1:13" ht="16.5" customHeight="1" x14ac:dyDescent="0.25">
      <c r="A287" s="390">
        <v>43375</v>
      </c>
      <c r="B287" s="370" t="s">
        <v>206</v>
      </c>
      <c r="C287" s="95" t="s">
        <v>31</v>
      </c>
      <c r="D287" s="95" t="s">
        <v>30</v>
      </c>
      <c r="E287" s="95" t="s">
        <v>81</v>
      </c>
      <c r="F287" s="95">
        <v>85</v>
      </c>
      <c r="G287" s="96">
        <v>36</v>
      </c>
      <c r="H287" s="502"/>
      <c r="I287" s="96">
        <v>370</v>
      </c>
      <c r="J287" s="97"/>
      <c r="K287" s="288" t="s">
        <v>280</v>
      </c>
      <c r="L287" s="289" t="s">
        <v>213</v>
      </c>
      <c r="M287" s="239"/>
    </row>
    <row r="288" spans="1:13" ht="15" customHeight="1" x14ac:dyDescent="0.25">
      <c r="A288" s="390">
        <v>43376</v>
      </c>
      <c r="B288" s="371" t="s">
        <v>214</v>
      </c>
      <c r="C288" s="126" t="s">
        <v>31</v>
      </c>
      <c r="D288" s="126" t="s">
        <v>30</v>
      </c>
      <c r="E288" s="126" t="s">
        <v>81</v>
      </c>
      <c r="F288" s="127">
        <v>84</v>
      </c>
      <c r="G288" s="127">
        <v>144</v>
      </c>
      <c r="H288" s="451">
        <v>2860</v>
      </c>
      <c r="I288" s="127">
        <v>1430</v>
      </c>
      <c r="J288" s="128"/>
      <c r="K288" s="271" t="s">
        <v>365</v>
      </c>
      <c r="L288" s="265" t="s">
        <v>213</v>
      </c>
      <c r="M288" s="239"/>
    </row>
    <row r="289" spans="1:13" ht="15" customHeight="1" x14ac:dyDescent="0.25">
      <c r="A289" s="390">
        <v>43376</v>
      </c>
      <c r="B289" s="371" t="s">
        <v>214</v>
      </c>
      <c r="C289" s="126" t="s">
        <v>31</v>
      </c>
      <c r="D289" s="126" t="s">
        <v>30</v>
      </c>
      <c r="E289" s="126" t="s">
        <v>81</v>
      </c>
      <c r="F289" s="127">
        <v>85</v>
      </c>
      <c r="G289" s="127">
        <v>144</v>
      </c>
      <c r="H289" s="452"/>
      <c r="I289" s="127">
        <v>1430</v>
      </c>
      <c r="J289" s="128"/>
      <c r="K289" s="271" t="s">
        <v>365</v>
      </c>
      <c r="L289" s="265" t="s">
        <v>213</v>
      </c>
      <c r="M289" s="239"/>
    </row>
    <row r="290" spans="1:13" ht="15" customHeight="1" x14ac:dyDescent="0.25">
      <c r="A290" s="390">
        <v>43376</v>
      </c>
      <c r="B290" s="371" t="s">
        <v>215</v>
      </c>
      <c r="C290" s="126" t="s">
        <v>31</v>
      </c>
      <c r="D290" s="126" t="s">
        <v>30</v>
      </c>
      <c r="E290" s="126" t="s">
        <v>81</v>
      </c>
      <c r="F290" s="127">
        <v>85</v>
      </c>
      <c r="G290" s="127">
        <v>252</v>
      </c>
      <c r="H290" s="451">
        <v>2770</v>
      </c>
      <c r="I290" s="127">
        <v>2423.75</v>
      </c>
      <c r="J290" s="128"/>
      <c r="K290" s="271" t="s">
        <v>365</v>
      </c>
      <c r="L290" s="265" t="s">
        <v>213</v>
      </c>
      <c r="M290" s="239"/>
    </row>
    <row r="291" spans="1:13" ht="15" customHeight="1" x14ac:dyDescent="0.25">
      <c r="A291" s="390">
        <v>43376</v>
      </c>
      <c r="B291" s="371" t="s">
        <v>215</v>
      </c>
      <c r="C291" s="126" t="s">
        <v>31</v>
      </c>
      <c r="D291" s="126" t="s">
        <v>30</v>
      </c>
      <c r="E291" s="126" t="s">
        <v>81</v>
      </c>
      <c r="F291" s="127">
        <v>86</v>
      </c>
      <c r="G291" s="127">
        <v>36</v>
      </c>
      <c r="H291" s="452"/>
      <c r="I291" s="127">
        <v>346.25</v>
      </c>
      <c r="J291" s="128"/>
      <c r="K291" s="271" t="s">
        <v>365</v>
      </c>
      <c r="L291" s="265" t="s">
        <v>213</v>
      </c>
      <c r="M291" s="239"/>
    </row>
    <row r="292" spans="1:13" ht="15" customHeight="1" x14ac:dyDescent="0.25">
      <c r="A292" s="390">
        <v>43376</v>
      </c>
      <c r="B292" s="371" t="s">
        <v>216</v>
      </c>
      <c r="C292" s="126" t="s">
        <v>31</v>
      </c>
      <c r="D292" s="126" t="s">
        <v>30</v>
      </c>
      <c r="E292" s="126" t="s">
        <v>81</v>
      </c>
      <c r="F292" s="127">
        <v>84</v>
      </c>
      <c r="G292" s="127">
        <v>216</v>
      </c>
      <c r="H292" s="451">
        <v>2830</v>
      </c>
      <c r="I292" s="127">
        <v>2121.5</v>
      </c>
      <c r="J292" s="128"/>
      <c r="K292" s="271" t="s">
        <v>365</v>
      </c>
      <c r="L292" s="265" t="s">
        <v>213</v>
      </c>
      <c r="M292" s="239"/>
    </row>
    <row r="293" spans="1:13" ht="15" customHeight="1" x14ac:dyDescent="0.25">
      <c r="A293" s="390">
        <v>43376</v>
      </c>
      <c r="B293" s="371" t="s">
        <v>216</v>
      </c>
      <c r="C293" s="126" t="s">
        <v>31</v>
      </c>
      <c r="D293" s="126" t="s">
        <v>30</v>
      </c>
      <c r="E293" s="126" t="s">
        <v>81</v>
      </c>
      <c r="F293" s="127">
        <v>86</v>
      </c>
      <c r="G293" s="127">
        <v>72</v>
      </c>
      <c r="H293" s="452"/>
      <c r="I293" s="127">
        <v>707.5</v>
      </c>
      <c r="J293" s="128"/>
      <c r="K293" s="271" t="s">
        <v>365</v>
      </c>
      <c r="L293" s="265" t="s">
        <v>213</v>
      </c>
      <c r="M293" s="239"/>
    </row>
    <row r="294" spans="1:13" ht="15" customHeight="1" x14ac:dyDescent="0.25">
      <c r="A294" s="390">
        <v>43376</v>
      </c>
      <c r="B294" s="371" t="s">
        <v>217</v>
      </c>
      <c r="C294" s="126" t="s">
        <v>31</v>
      </c>
      <c r="D294" s="126" t="s">
        <v>30</v>
      </c>
      <c r="E294" s="126" t="s">
        <v>81</v>
      </c>
      <c r="F294" s="127">
        <v>85</v>
      </c>
      <c r="G294" s="127">
        <v>108</v>
      </c>
      <c r="H294" s="451">
        <v>2900</v>
      </c>
      <c r="I294" s="127">
        <v>1087.5</v>
      </c>
      <c r="J294" s="128"/>
      <c r="K294" s="271" t="s">
        <v>365</v>
      </c>
      <c r="L294" s="265" t="s">
        <v>213</v>
      </c>
      <c r="M294" s="239"/>
    </row>
    <row r="295" spans="1:13" ht="15" customHeight="1" x14ac:dyDescent="0.25">
      <c r="A295" s="390">
        <v>43376</v>
      </c>
      <c r="B295" s="371" t="s">
        <v>217</v>
      </c>
      <c r="C295" s="126" t="s">
        <v>31</v>
      </c>
      <c r="D295" s="126" t="s">
        <v>30</v>
      </c>
      <c r="E295" s="126" t="s">
        <v>81</v>
      </c>
      <c r="F295" s="127">
        <v>86</v>
      </c>
      <c r="G295" s="127">
        <v>180</v>
      </c>
      <c r="H295" s="452"/>
      <c r="I295" s="127">
        <v>1812.5</v>
      </c>
      <c r="J295" s="128"/>
      <c r="K295" s="271" t="s">
        <v>365</v>
      </c>
      <c r="L295" s="265" t="s">
        <v>213</v>
      </c>
      <c r="M295" s="239"/>
    </row>
    <row r="296" spans="1:13" ht="15" customHeight="1" x14ac:dyDescent="0.25">
      <c r="A296" s="390">
        <v>43376</v>
      </c>
      <c r="B296" s="371" t="s">
        <v>218</v>
      </c>
      <c r="C296" s="126" t="s">
        <v>31</v>
      </c>
      <c r="D296" s="126" t="s">
        <v>30</v>
      </c>
      <c r="E296" s="126" t="s">
        <v>81</v>
      </c>
      <c r="F296" s="127">
        <v>84</v>
      </c>
      <c r="G296" s="127">
        <v>288</v>
      </c>
      <c r="H296" s="451">
        <v>3600</v>
      </c>
      <c r="I296" s="127">
        <v>2880</v>
      </c>
      <c r="J296" s="128"/>
      <c r="K296" s="271" t="s">
        <v>365</v>
      </c>
      <c r="L296" s="265" t="s">
        <v>213</v>
      </c>
      <c r="M296" s="239"/>
    </row>
    <row r="297" spans="1:13" ht="15" customHeight="1" x14ac:dyDescent="0.25">
      <c r="A297" s="390">
        <v>43376</v>
      </c>
      <c r="B297" s="371" t="s">
        <v>218</v>
      </c>
      <c r="C297" s="126" t="s">
        <v>31</v>
      </c>
      <c r="D297" s="126" t="s">
        <v>30</v>
      </c>
      <c r="E297" s="126" t="s">
        <v>81</v>
      </c>
      <c r="F297" s="127">
        <v>85</v>
      </c>
      <c r="G297" s="127">
        <v>72</v>
      </c>
      <c r="H297" s="452"/>
      <c r="I297" s="127">
        <v>720</v>
      </c>
      <c r="J297" s="128"/>
      <c r="K297" s="271" t="s">
        <v>365</v>
      </c>
      <c r="L297" s="265" t="s">
        <v>213</v>
      </c>
      <c r="M297" s="239"/>
    </row>
    <row r="298" spans="1:13" ht="15" customHeight="1" x14ac:dyDescent="0.25">
      <c r="A298" s="390">
        <v>43376</v>
      </c>
      <c r="B298" s="371" t="s">
        <v>219</v>
      </c>
      <c r="C298" s="126" t="s">
        <v>31</v>
      </c>
      <c r="D298" s="126" t="s">
        <v>30</v>
      </c>
      <c r="E298" s="126" t="s">
        <v>81</v>
      </c>
      <c r="F298" s="127">
        <v>84</v>
      </c>
      <c r="G298" s="127">
        <v>72</v>
      </c>
      <c r="H298" s="451">
        <v>2860</v>
      </c>
      <c r="I298" s="127">
        <v>715</v>
      </c>
      <c r="J298" s="128"/>
      <c r="K298" s="271" t="s">
        <v>365</v>
      </c>
      <c r="L298" s="265" t="s">
        <v>213</v>
      </c>
      <c r="M298" s="239"/>
    </row>
    <row r="299" spans="1:13" ht="15" customHeight="1" x14ac:dyDescent="0.25">
      <c r="A299" s="390">
        <v>43376</v>
      </c>
      <c r="B299" s="371" t="s">
        <v>219</v>
      </c>
      <c r="C299" s="126" t="s">
        <v>31</v>
      </c>
      <c r="D299" s="126" t="s">
        <v>30</v>
      </c>
      <c r="E299" s="126" t="s">
        <v>81</v>
      </c>
      <c r="F299" s="127">
        <v>85</v>
      </c>
      <c r="G299" s="127">
        <v>216</v>
      </c>
      <c r="H299" s="452"/>
      <c r="I299" s="127">
        <v>2145</v>
      </c>
      <c r="J299" s="128"/>
      <c r="K299" s="271" t="s">
        <v>365</v>
      </c>
      <c r="L299" s="265" t="s">
        <v>213</v>
      </c>
      <c r="M299" s="239"/>
    </row>
    <row r="300" spans="1:13" ht="15" customHeight="1" x14ac:dyDescent="0.3">
      <c r="A300" s="390">
        <v>43376</v>
      </c>
      <c r="B300" s="56" t="s">
        <v>220</v>
      </c>
      <c r="C300" s="73" t="s">
        <v>31</v>
      </c>
      <c r="D300" s="74" t="s">
        <v>30</v>
      </c>
      <c r="E300" s="73" t="s">
        <v>81</v>
      </c>
      <c r="F300" s="75">
        <v>84</v>
      </c>
      <c r="G300" s="75">
        <v>288</v>
      </c>
      <c r="H300" s="38">
        <v>2780</v>
      </c>
      <c r="I300" s="75">
        <v>2780</v>
      </c>
      <c r="J300" s="61"/>
      <c r="K300" s="194"/>
      <c r="L300" s="228"/>
    </row>
    <row r="301" spans="1:13" ht="15" customHeight="1" x14ac:dyDescent="0.3">
      <c r="A301" s="390">
        <v>43376</v>
      </c>
      <c r="B301" s="369" t="s">
        <v>221</v>
      </c>
      <c r="C301" s="73" t="s">
        <v>31</v>
      </c>
      <c r="D301" s="74" t="s">
        <v>30</v>
      </c>
      <c r="E301" s="73" t="s">
        <v>81</v>
      </c>
      <c r="F301" s="75">
        <v>84</v>
      </c>
      <c r="G301" s="75">
        <v>216</v>
      </c>
      <c r="H301" s="453">
        <v>3490</v>
      </c>
      <c r="I301" s="75">
        <v>2094</v>
      </c>
      <c r="J301" s="61"/>
      <c r="K301" s="194"/>
      <c r="L301" s="228"/>
    </row>
    <row r="302" spans="1:13" ht="15" customHeight="1" x14ac:dyDescent="0.3">
      <c r="A302" s="390">
        <v>43376</v>
      </c>
      <c r="B302" s="369" t="s">
        <v>221</v>
      </c>
      <c r="C302" s="73" t="s">
        <v>31</v>
      </c>
      <c r="D302" s="74" t="s">
        <v>30</v>
      </c>
      <c r="E302" s="73" t="s">
        <v>81</v>
      </c>
      <c r="F302" s="75">
        <v>85</v>
      </c>
      <c r="G302" s="75">
        <v>144</v>
      </c>
      <c r="H302" s="454"/>
      <c r="I302" s="75">
        <v>1396</v>
      </c>
      <c r="J302" s="61"/>
      <c r="K302" s="194"/>
      <c r="L302" s="228"/>
    </row>
    <row r="303" spans="1:13" ht="15" customHeight="1" x14ac:dyDescent="0.3">
      <c r="A303" s="390">
        <v>43376</v>
      </c>
      <c r="B303" s="369" t="s">
        <v>222</v>
      </c>
      <c r="C303" s="73" t="s">
        <v>31</v>
      </c>
      <c r="D303" s="74" t="s">
        <v>30</v>
      </c>
      <c r="E303" s="73" t="s">
        <v>81</v>
      </c>
      <c r="F303" s="75">
        <v>85</v>
      </c>
      <c r="G303" s="75">
        <v>72</v>
      </c>
      <c r="H303" s="453">
        <v>2920</v>
      </c>
      <c r="I303" s="75">
        <v>730</v>
      </c>
      <c r="J303" s="61"/>
      <c r="K303" s="194"/>
      <c r="L303" s="228"/>
    </row>
    <row r="304" spans="1:13" ht="15" customHeight="1" x14ac:dyDescent="0.3">
      <c r="A304" s="390">
        <v>43376</v>
      </c>
      <c r="B304" s="369" t="s">
        <v>222</v>
      </c>
      <c r="C304" s="73" t="s">
        <v>31</v>
      </c>
      <c r="D304" s="74" t="s">
        <v>30</v>
      </c>
      <c r="E304" s="73" t="s">
        <v>81</v>
      </c>
      <c r="F304" s="75">
        <v>86</v>
      </c>
      <c r="G304" s="75">
        <v>216</v>
      </c>
      <c r="H304" s="454"/>
      <c r="I304" s="75">
        <v>2190</v>
      </c>
      <c r="J304" s="61"/>
      <c r="K304" s="194"/>
      <c r="L304" s="228"/>
    </row>
    <row r="305" spans="1:13" ht="15" customHeight="1" x14ac:dyDescent="0.25">
      <c r="A305" s="390">
        <v>43376</v>
      </c>
      <c r="B305" s="132" t="s">
        <v>223</v>
      </c>
      <c r="C305" s="136" t="s">
        <v>31</v>
      </c>
      <c r="D305" s="136" t="s">
        <v>30</v>
      </c>
      <c r="E305" s="136" t="s">
        <v>81</v>
      </c>
      <c r="F305" s="137">
        <v>84</v>
      </c>
      <c r="G305" s="137">
        <v>288</v>
      </c>
      <c r="H305" s="134">
        <v>3080</v>
      </c>
      <c r="I305" s="137">
        <v>3080</v>
      </c>
      <c r="J305" s="135"/>
      <c r="K305" s="273" t="s">
        <v>366</v>
      </c>
      <c r="L305" s="264" t="s">
        <v>213</v>
      </c>
      <c r="M305" s="239"/>
    </row>
    <row r="306" spans="1:13" ht="15" customHeight="1" x14ac:dyDescent="0.25">
      <c r="A306" s="390">
        <v>43376</v>
      </c>
      <c r="B306" s="372" t="s">
        <v>224</v>
      </c>
      <c r="C306" s="136" t="s">
        <v>31</v>
      </c>
      <c r="D306" s="136" t="s">
        <v>30</v>
      </c>
      <c r="E306" s="136" t="s">
        <v>81</v>
      </c>
      <c r="F306" s="137">
        <v>84</v>
      </c>
      <c r="G306" s="137">
        <v>144</v>
      </c>
      <c r="H306" s="455">
        <v>3620</v>
      </c>
      <c r="I306" s="137">
        <v>1448</v>
      </c>
      <c r="J306" s="135"/>
      <c r="K306" s="273" t="s">
        <v>366</v>
      </c>
      <c r="L306" s="264" t="s">
        <v>213</v>
      </c>
      <c r="M306" s="239"/>
    </row>
    <row r="307" spans="1:13" ht="15" customHeight="1" x14ac:dyDescent="0.25">
      <c r="A307" s="390">
        <v>43376</v>
      </c>
      <c r="B307" s="372" t="s">
        <v>224</v>
      </c>
      <c r="C307" s="133" t="s">
        <v>31</v>
      </c>
      <c r="D307" s="133" t="s">
        <v>30</v>
      </c>
      <c r="E307" s="133" t="s">
        <v>81</v>
      </c>
      <c r="F307" s="137">
        <v>85</v>
      </c>
      <c r="G307" s="137">
        <v>216</v>
      </c>
      <c r="H307" s="456"/>
      <c r="I307" s="137">
        <v>2172</v>
      </c>
      <c r="J307" s="135"/>
      <c r="K307" s="273" t="s">
        <v>366</v>
      </c>
      <c r="L307" s="264" t="s">
        <v>213</v>
      </c>
      <c r="M307" s="239"/>
    </row>
    <row r="308" spans="1:13" ht="15" customHeight="1" x14ac:dyDescent="0.25">
      <c r="A308" s="390">
        <v>43376</v>
      </c>
      <c r="B308" s="372" t="s">
        <v>225</v>
      </c>
      <c r="C308" s="133" t="s">
        <v>31</v>
      </c>
      <c r="D308" s="133" t="s">
        <v>30</v>
      </c>
      <c r="E308" s="133" t="s">
        <v>81</v>
      </c>
      <c r="F308" s="137">
        <v>84</v>
      </c>
      <c r="G308" s="137">
        <v>108</v>
      </c>
      <c r="H308" s="455">
        <v>2770</v>
      </c>
      <c r="I308" s="137">
        <v>1038.75</v>
      </c>
      <c r="J308" s="135"/>
      <c r="K308" s="273" t="s">
        <v>366</v>
      </c>
      <c r="L308" s="264" t="s">
        <v>213</v>
      </c>
      <c r="M308" s="239"/>
    </row>
    <row r="309" spans="1:13" ht="15" customHeight="1" x14ac:dyDescent="0.25">
      <c r="A309" s="390">
        <v>43376</v>
      </c>
      <c r="B309" s="372" t="s">
        <v>225</v>
      </c>
      <c r="C309" s="133" t="s">
        <v>31</v>
      </c>
      <c r="D309" s="133" t="s">
        <v>30</v>
      </c>
      <c r="E309" s="133" t="s">
        <v>81</v>
      </c>
      <c r="F309" s="137">
        <v>85</v>
      </c>
      <c r="G309" s="137">
        <v>36</v>
      </c>
      <c r="H309" s="457"/>
      <c r="I309" s="137">
        <v>346.25</v>
      </c>
      <c r="J309" s="135"/>
      <c r="K309" s="273" t="s">
        <v>366</v>
      </c>
      <c r="L309" s="264" t="s">
        <v>213</v>
      </c>
      <c r="M309" s="239"/>
    </row>
    <row r="310" spans="1:13" ht="15" customHeight="1" x14ac:dyDescent="0.25">
      <c r="A310" s="390">
        <v>43376</v>
      </c>
      <c r="B310" s="372" t="s">
        <v>225</v>
      </c>
      <c r="C310" s="133" t="s">
        <v>31</v>
      </c>
      <c r="D310" s="133" t="s">
        <v>30</v>
      </c>
      <c r="E310" s="133" t="s">
        <v>81</v>
      </c>
      <c r="F310" s="137">
        <v>86</v>
      </c>
      <c r="G310" s="137">
        <v>144</v>
      </c>
      <c r="H310" s="456"/>
      <c r="I310" s="137">
        <v>1385</v>
      </c>
      <c r="J310" s="135"/>
      <c r="K310" s="273" t="s">
        <v>366</v>
      </c>
      <c r="L310" s="264" t="s">
        <v>213</v>
      </c>
      <c r="M310" s="239"/>
    </row>
    <row r="311" spans="1:13" ht="15" customHeight="1" x14ac:dyDescent="0.25">
      <c r="A311" s="390">
        <v>43376</v>
      </c>
      <c r="B311" s="132" t="s">
        <v>226</v>
      </c>
      <c r="C311" s="133" t="s">
        <v>31</v>
      </c>
      <c r="D311" s="133" t="s">
        <v>30</v>
      </c>
      <c r="E311" s="133" t="s">
        <v>81</v>
      </c>
      <c r="F311" s="137">
        <v>84</v>
      </c>
      <c r="G311" s="137">
        <v>288</v>
      </c>
      <c r="H311" s="134">
        <v>2540</v>
      </c>
      <c r="I311" s="137">
        <v>2540</v>
      </c>
      <c r="J311" s="135"/>
      <c r="K311" s="273" t="s">
        <v>366</v>
      </c>
      <c r="L311" s="264" t="s">
        <v>213</v>
      </c>
      <c r="M311" s="239"/>
    </row>
    <row r="312" spans="1:13" ht="15" customHeight="1" x14ac:dyDescent="0.3">
      <c r="A312" s="390">
        <v>43376</v>
      </c>
      <c r="B312" s="369" t="s">
        <v>227</v>
      </c>
      <c r="C312" s="44" t="s">
        <v>31</v>
      </c>
      <c r="D312" s="48" t="s">
        <v>30</v>
      </c>
      <c r="E312" s="44" t="s">
        <v>81</v>
      </c>
      <c r="F312" s="75">
        <v>84</v>
      </c>
      <c r="G312" s="75">
        <v>144</v>
      </c>
      <c r="H312" s="453">
        <v>33610</v>
      </c>
      <c r="I312" s="75">
        <v>1444</v>
      </c>
      <c r="J312" s="61"/>
      <c r="K312" s="194"/>
      <c r="L312" s="228"/>
    </row>
    <row r="313" spans="1:13" ht="15" customHeight="1" x14ac:dyDescent="0.3">
      <c r="A313" s="390">
        <v>43376</v>
      </c>
      <c r="B313" s="369" t="s">
        <v>227</v>
      </c>
      <c r="C313" s="44" t="s">
        <v>31</v>
      </c>
      <c r="D313" s="48" t="s">
        <v>30</v>
      </c>
      <c r="E313" s="44" t="s">
        <v>81</v>
      </c>
      <c r="F313" s="75">
        <v>85</v>
      </c>
      <c r="G313" s="75">
        <v>216</v>
      </c>
      <c r="H313" s="454"/>
      <c r="I313" s="75">
        <v>2166</v>
      </c>
      <c r="J313" s="61"/>
      <c r="K313" s="194"/>
      <c r="L313" s="228"/>
    </row>
    <row r="314" spans="1:13" ht="15" customHeight="1" x14ac:dyDescent="0.3">
      <c r="A314" s="390">
        <v>43376</v>
      </c>
      <c r="B314" s="369" t="s">
        <v>228</v>
      </c>
      <c r="C314" s="44">
        <v>0</v>
      </c>
      <c r="D314" s="48" t="s">
        <v>30</v>
      </c>
      <c r="E314" s="44" t="s">
        <v>81</v>
      </c>
      <c r="F314" s="75">
        <v>84</v>
      </c>
      <c r="G314" s="75">
        <v>144</v>
      </c>
      <c r="H314" s="453">
        <v>2770</v>
      </c>
      <c r="I314" s="75">
        <v>1385</v>
      </c>
      <c r="J314" s="61"/>
      <c r="K314" s="194"/>
      <c r="L314" s="228"/>
    </row>
    <row r="315" spans="1:13" ht="15" customHeight="1" x14ac:dyDescent="0.3">
      <c r="A315" s="390">
        <v>43376</v>
      </c>
      <c r="B315" s="369" t="s">
        <v>228</v>
      </c>
      <c r="C315" s="44" t="s">
        <v>31</v>
      </c>
      <c r="D315" s="48" t="s">
        <v>30</v>
      </c>
      <c r="E315" s="44" t="s">
        <v>81</v>
      </c>
      <c r="F315" s="75">
        <v>85</v>
      </c>
      <c r="G315" s="75">
        <v>144</v>
      </c>
      <c r="H315" s="454"/>
      <c r="I315" s="75">
        <v>1385</v>
      </c>
      <c r="J315" s="61"/>
      <c r="K315" s="194"/>
      <c r="L315" s="228"/>
    </row>
    <row r="316" spans="1:13" ht="15" customHeight="1" x14ac:dyDescent="0.3">
      <c r="A316" s="390">
        <v>43376</v>
      </c>
      <c r="B316" s="56" t="s">
        <v>229</v>
      </c>
      <c r="C316" s="44" t="s">
        <v>31</v>
      </c>
      <c r="D316" s="48" t="s">
        <v>30</v>
      </c>
      <c r="E316" s="44" t="s">
        <v>81</v>
      </c>
      <c r="F316" s="75">
        <v>86</v>
      </c>
      <c r="G316" s="75">
        <v>288</v>
      </c>
      <c r="H316" s="38">
        <v>2830</v>
      </c>
      <c r="I316" s="75">
        <v>2830</v>
      </c>
      <c r="J316" s="61"/>
      <c r="K316" s="194"/>
      <c r="L316" s="228"/>
    </row>
    <row r="317" spans="1:13" ht="15" customHeight="1" x14ac:dyDescent="0.3">
      <c r="A317" s="390">
        <v>43376</v>
      </c>
      <c r="B317" s="56" t="s">
        <v>230</v>
      </c>
      <c r="C317" s="44" t="s">
        <v>31</v>
      </c>
      <c r="D317" s="48" t="s">
        <v>30</v>
      </c>
      <c r="E317" s="44" t="s">
        <v>81</v>
      </c>
      <c r="F317" s="75">
        <v>84</v>
      </c>
      <c r="G317" s="75">
        <v>360</v>
      </c>
      <c r="H317" s="38">
        <v>3520</v>
      </c>
      <c r="I317" s="75">
        <v>3520</v>
      </c>
      <c r="J317" s="61"/>
      <c r="K317" s="194"/>
      <c r="L317" s="228"/>
    </row>
    <row r="318" spans="1:13" ht="15" customHeight="1" x14ac:dyDescent="0.3">
      <c r="A318" s="390">
        <v>43376</v>
      </c>
      <c r="B318" s="56" t="s">
        <v>231</v>
      </c>
      <c r="C318" s="44" t="s">
        <v>31</v>
      </c>
      <c r="D318" s="48" t="s">
        <v>30</v>
      </c>
      <c r="E318" s="44" t="s">
        <v>81</v>
      </c>
      <c r="F318" s="75">
        <v>84</v>
      </c>
      <c r="G318" s="75">
        <v>288</v>
      </c>
      <c r="H318" s="38">
        <v>3000</v>
      </c>
      <c r="I318" s="75">
        <v>3000</v>
      </c>
      <c r="J318" s="61"/>
      <c r="K318" s="194"/>
      <c r="L318" s="228"/>
    </row>
    <row r="319" spans="1:13" ht="15" customHeight="1" x14ac:dyDescent="0.3">
      <c r="A319" s="390">
        <v>43376</v>
      </c>
      <c r="B319" s="56" t="s">
        <v>232</v>
      </c>
      <c r="C319" s="44" t="s">
        <v>31</v>
      </c>
      <c r="D319" s="48" t="s">
        <v>30</v>
      </c>
      <c r="E319" s="44" t="s">
        <v>81</v>
      </c>
      <c r="F319" s="48">
        <v>85</v>
      </c>
      <c r="G319" s="75">
        <v>288</v>
      </c>
      <c r="H319" s="38">
        <v>3090</v>
      </c>
      <c r="I319" s="75">
        <v>3090</v>
      </c>
      <c r="J319" s="61"/>
      <c r="K319" s="194"/>
      <c r="L319" s="228"/>
    </row>
    <row r="320" spans="1:13" ht="15" customHeight="1" x14ac:dyDescent="0.3">
      <c r="A320" s="390">
        <v>43376</v>
      </c>
      <c r="B320" s="56" t="s">
        <v>233</v>
      </c>
      <c r="C320" s="44" t="s">
        <v>31</v>
      </c>
      <c r="D320" s="48" t="s">
        <v>30</v>
      </c>
      <c r="E320" s="44" t="s">
        <v>81</v>
      </c>
      <c r="F320" s="48">
        <v>84</v>
      </c>
      <c r="G320" s="48">
        <v>360</v>
      </c>
      <c r="H320" s="38">
        <v>3600</v>
      </c>
      <c r="I320" s="75">
        <v>3600</v>
      </c>
      <c r="J320" s="61"/>
      <c r="K320" s="194"/>
      <c r="L320" s="228"/>
    </row>
    <row r="321" spans="1:14" s="121" customFormat="1" ht="15" customHeight="1" x14ac:dyDescent="0.3">
      <c r="A321" s="390">
        <v>43376</v>
      </c>
      <c r="B321" s="373" t="s">
        <v>234</v>
      </c>
      <c r="C321" s="44" t="s">
        <v>31</v>
      </c>
      <c r="D321" s="44" t="s">
        <v>30</v>
      </c>
      <c r="E321" s="44" t="s">
        <v>81</v>
      </c>
      <c r="F321" s="44">
        <v>85</v>
      </c>
      <c r="G321" s="44">
        <v>144</v>
      </c>
      <c r="H321" s="439">
        <v>1033</v>
      </c>
      <c r="I321" s="77">
        <v>1410</v>
      </c>
      <c r="J321" s="60"/>
      <c r="K321" s="322"/>
      <c r="L321" s="323"/>
      <c r="M321" s="152"/>
      <c r="N321" s="164"/>
    </row>
    <row r="322" spans="1:14" s="121" customFormat="1" ht="15.75" customHeight="1" x14ac:dyDescent="0.3">
      <c r="A322" s="390">
        <v>43376</v>
      </c>
      <c r="B322" s="373" t="s">
        <v>234</v>
      </c>
      <c r="C322" s="44" t="s">
        <v>31</v>
      </c>
      <c r="D322" s="44" t="s">
        <v>30</v>
      </c>
      <c r="E322" s="44" t="s">
        <v>81</v>
      </c>
      <c r="F322" s="44">
        <v>86</v>
      </c>
      <c r="G322" s="44">
        <v>144</v>
      </c>
      <c r="H322" s="440"/>
      <c r="I322" s="77">
        <v>1410</v>
      </c>
      <c r="J322" s="60"/>
      <c r="K322" s="322"/>
      <c r="L322" s="323"/>
      <c r="M322" s="152"/>
      <c r="N322" s="164"/>
    </row>
    <row r="323" spans="1:14" ht="15" customHeight="1" x14ac:dyDescent="0.3">
      <c r="A323" s="390">
        <v>43376</v>
      </c>
      <c r="B323" s="76" t="s">
        <v>235</v>
      </c>
      <c r="C323" s="44" t="s">
        <v>31</v>
      </c>
      <c r="D323" s="48" t="s">
        <v>30</v>
      </c>
      <c r="E323" s="44" t="s">
        <v>81</v>
      </c>
      <c r="F323" s="48">
        <v>85</v>
      </c>
      <c r="G323" s="48">
        <v>288</v>
      </c>
      <c r="H323" s="75">
        <v>2890</v>
      </c>
      <c r="I323" s="75">
        <v>2890</v>
      </c>
      <c r="J323" s="61"/>
      <c r="K323" s="194"/>
      <c r="L323" s="228"/>
    </row>
    <row r="324" spans="1:14" ht="15" customHeight="1" x14ac:dyDescent="0.3">
      <c r="A324" s="390">
        <v>43376</v>
      </c>
      <c r="B324" s="76" t="s">
        <v>236</v>
      </c>
      <c r="C324" s="44" t="s">
        <v>31</v>
      </c>
      <c r="D324" s="48" t="s">
        <v>30</v>
      </c>
      <c r="E324" s="44" t="s">
        <v>81</v>
      </c>
      <c r="F324" s="48">
        <v>84</v>
      </c>
      <c r="G324" s="48">
        <v>288</v>
      </c>
      <c r="H324" s="75">
        <v>2850</v>
      </c>
      <c r="I324" s="75">
        <v>2850</v>
      </c>
      <c r="J324" s="61"/>
      <c r="K324" s="194"/>
      <c r="L324" s="228"/>
    </row>
    <row r="325" spans="1:14" ht="15" customHeight="1" x14ac:dyDescent="0.3">
      <c r="A325" s="390">
        <v>43376</v>
      </c>
      <c r="B325" s="76" t="s">
        <v>237</v>
      </c>
      <c r="C325" s="44" t="s">
        <v>31</v>
      </c>
      <c r="D325" s="48" t="s">
        <v>30</v>
      </c>
      <c r="E325" s="44" t="s">
        <v>81</v>
      </c>
      <c r="F325" s="48">
        <v>86</v>
      </c>
      <c r="G325" s="48">
        <v>288</v>
      </c>
      <c r="H325" s="75">
        <v>2850</v>
      </c>
      <c r="I325" s="75">
        <v>2850</v>
      </c>
      <c r="J325" s="61"/>
      <c r="K325" s="194"/>
      <c r="L325" s="228"/>
    </row>
    <row r="326" spans="1:14" ht="15" customHeight="1" x14ac:dyDescent="0.3">
      <c r="A326" s="390">
        <v>43376</v>
      </c>
      <c r="B326" s="374" t="s">
        <v>238</v>
      </c>
      <c r="C326" s="44" t="s">
        <v>31</v>
      </c>
      <c r="D326" s="48" t="s">
        <v>30</v>
      </c>
      <c r="E326" s="44" t="s">
        <v>81</v>
      </c>
      <c r="F326" s="48">
        <v>84</v>
      </c>
      <c r="G326" s="48">
        <v>108</v>
      </c>
      <c r="H326" s="459">
        <v>3730</v>
      </c>
      <c r="I326" s="75">
        <v>1119</v>
      </c>
      <c r="J326" s="61"/>
      <c r="K326" s="194"/>
      <c r="L326" s="228"/>
    </row>
    <row r="327" spans="1:14" ht="15" customHeight="1" x14ac:dyDescent="0.3">
      <c r="A327" s="390">
        <v>43376</v>
      </c>
      <c r="B327" s="374" t="s">
        <v>238</v>
      </c>
      <c r="C327" s="44" t="s">
        <v>31</v>
      </c>
      <c r="D327" s="48" t="s">
        <v>30</v>
      </c>
      <c r="E327" s="44" t="s">
        <v>81</v>
      </c>
      <c r="F327" s="48">
        <v>85</v>
      </c>
      <c r="G327" s="48">
        <v>252</v>
      </c>
      <c r="H327" s="460"/>
      <c r="I327" s="75">
        <v>2611</v>
      </c>
      <c r="J327" s="61"/>
      <c r="K327" s="194"/>
      <c r="L327" s="228"/>
    </row>
    <row r="328" spans="1:14" ht="15" customHeight="1" x14ac:dyDescent="0.3">
      <c r="A328" s="390">
        <v>43376</v>
      </c>
      <c r="B328" s="374" t="s">
        <v>239</v>
      </c>
      <c r="C328" s="44" t="s">
        <v>31</v>
      </c>
      <c r="D328" s="48" t="s">
        <v>30</v>
      </c>
      <c r="E328" s="44" t="s">
        <v>81</v>
      </c>
      <c r="F328" s="48">
        <v>84</v>
      </c>
      <c r="G328" s="48">
        <v>108</v>
      </c>
      <c r="H328" s="459">
        <v>3380</v>
      </c>
      <c r="I328" s="75">
        <v>1014</v>
      </c>
      <c r="J328" s="61"/>
      <c r="K328" s="194"/>
      <c r="L328" s="228"/>
    </row>
    <row r="329" spans="1:14" ht="15" customHeight="1" x14ac:dyDescent="0.3">
      <c r="A329" s="390">
        <v>43376</v>
      </c>
      <c r="B329" s="374" t="s">
        <v>239</v>
      </c>
      <c r="C329" s="44" t="s">
        <v>31</v>
      </c>
      <c r="D329" s="48" t="s">
        <v>30</v>
      </c>
      <c r="E329" s="44" t="s">
        <v>81</v>
      </c>
      <c r="F329" s="44">
        <v>86</v>
      </c>
      <c r="G329" s="44">
        <v>252</v>
      </c>
      <c r="H329" s="460"/>
      <c r="I329" s="77">
        <v>2366</v>
      </c>
      <c r="J329" s="61"/>
      <c r="K329" s="194"/>
      <c r="L329" s="329"/>
    </row>
    <row r="330" spans="1:14" ht="15" customHeight="1" x14ac:dyDescent="0.3">
      <c r="A330" s="390">
        <v>43376</v>
      </c>
      <c r="B330" s="76" t="s">
        <v>240</v>
      </c>
      <c r="C330" s="44" t="s">
        <v>31</v>
      </c>
      <c r="D330" s="48" t="s">
        <v>30</v>
      </c>
      <c r="E330" s="44" t="s">
        <v>81</v>
      </c>
      <c r="F330" s="48">
        <v>85</v>
      </c>
      <c r="G330" s="48">
        <v>288</v>
      </c>
      <c r="H330" s="38">
        <v>2990</v>
      </c>
      <c r="I330" s="75">
        <v>2990</v>
      </c>
      <c r="J330" s="61"/>
      <c r="K330" s="194"/>
      <c r="L330" s="228"/>
    </row>
    <row r="331" spans="1:14" ht="15" customHeight="1" x14ac:dyDescent="0.3">
      <c r="A331" s="390">
        <v>43376</v>
      </c>
      <c r="B331" s="374" t="s">
        <v>241</v>
      </c>
      <c r="C331" s="44" t="s">
        <v>31</v>
      </c>
      <c r="D331" s="48" t="s">
        <v>30</v>
      </c>
      <c r="E331" s="44" t="s">
        <v>81</v>
      </c>
      <c r="F331" s="48">
        <v>84</v>
      </c>
      <c r="G331" s="48">
        <v>108</v>
      </c>
      <c r="H331" s="453">
        <v>3550</v>
      </c>
      <c r="I331" s="75">
        <v>1065</v>
      </c>
      <c r="J331" s="61"/>
      <c r="K331" s="194"/>
      <c r="L331" s="228"/>
    </row>
    <row r="332" spans="1:14" ht="15" customHeight="1" x14ac:dyDescent="0.3">
      <c r="A332" s="390">
        <v>43376</v>
      </c>
      <c r="B332" s="374" t="s">
        <v>241</v>
      </c>
      <c r="C332" s="44" t="s">
        <v>31</v>
      </c>
      <c r="D332" s="48" t="s">
        <v>30</v>
      </c>
      <c r="E332" s="44" t="s">
        <v>81</v>
      </c>
      <c r="F332" s="48">
        <v>85</v>
      </c>
      <c r="G332" s="48">
        <v>252</v>
      </c>
      <c r="H332" s="454"/>
      <c r="I332" s="75">
        <v>2485</v>
      </c>
      <c r="J332" s="61"/>
      <c r="K332" s="194"/>
      <c r="L332" s="228"/>
    </row>
    <row r="333" spans="1:14" ht="15" customHeight="1" x14ac:dyDescent="0.3">
      <c r="A333" s="390">
        <v>43376</v>
      </c>
      <c r="B333" s="56" t="s">
        <v>242</v>
      </c>
      <c r="C333" s="44" t="s">
        <v>31</v>
      </c>
      <c r="D333" s="48" t="s">
        <v>30</v>
      </c>
      <c r="E333" s="44" t="s">
        <v>81</v>
      </c>
      <c r="F333" s="48">
        <v>84</v>
      </c>
      <c r="G333" s="48">
        <v>288</v>
      </c>
      <c r="H333" s="38">
        <v>2710</v>
      </c>
      <c r="I333" s="75">
        <v>2710</v>
      </c>
      <c r="J333" s="61"/>
      <c r="K333" s="194"/>
      <c r="L333" s="228"/>
    </row>
    <row r="334" spans="1:14" ht="15" customHeight="1" x14ac:dyDescent="0.3">
      <c r="A334" s="390">
        <v>43376</v>
      </c>
      <c r="B334" s="56" t="s">
        <v>243</v>
      </c>
      <c r="C334" s="44" t="s">
        <v>31</v>
      </c>
      <c r="D334" s="48" t="s">
        <v>30</v>
      </c>
      <c r="E334" s="44" t="s">
        <v>81</v>
      </c>
      <c r="F334" s="48">
        <v>84</v>
      </c>
      <c r="G334" s="48">
        <v>288</v>
      </c>
      <c r="H334" s="38">
        <v>2990</v>
      </c>
      <c r="I334" s="75">
        <v>2990</v>
      </c>
      <c r="J334" s="61"/>
      <c r="K334" s="194"/>
      <c r="L334" s="228"/>
    </row>
    <row r="335" spans="1:14" ht="15" customHeight="1" x14ac:dyDescent="0.3">
      <c r="A335" s="390">
        <v>43376</v>
      </c>
      <c r="B335" s="369" t="s">
        <v>244</v>
      </c>
      <c r="C335" s="44" t="s">
        <v>31</v>
      </c>
      <c r="D335" s="48" t="s">
        <v>30</v>
      </c>
      <c r="E335" s="44" t="s">
        <v>81</v>
      </c>
      <c r="F335" s="48">
        <v>84</v>
      </c>
      <c r="G335" s="48">
        <v>180</v>
      </c>
      <c r="H335" s="453">
        <v>2980</v>
      </c>
      <c r="I335" s="75">
        <v>1862.5</v>
      </c>
      <c r="J335" s="61"/>
      <c r="K335" s="194"/>
      <c r="L335" s="228"/>
    </row>
    <row r="336" spans="1:14" ht="15" customHeight="1" x14ac:dyDescent="0.3">
      <c r="A336" s="390">
        <v>43376</v>
      </c>
      <c r="B336" s="369" t="s">
        <v>244</v>
      </c>
      <c r="C336" s="44" t="s">
        <v>31</v>
      </c>
      <c r="D336" s="48" t="s">
        <v>30</v>
      </c>
      <c r="E336" s="44" t="s">
        <v>81</v>
      </c>
      <c r="F336" s="48">
        <v>86</v>
      </c>
      <c r="G336" s="48">
        <v>108</v>
      </c>
      <c r="H336" s="454"/>
      <c r="I336" s="75">
        <v>1117.5</v>
      </c>
      <c r="J336" s="61"/>
      <c r="K336" s="194"/>
      <c r="L336" s="228"/>
    </row>
    <row r="337" spans="1:12" ht="15" customHeight="1" x14ac:dyDescent="0.3">
      <c r="A337" s="390">
        <v>43376</v>
      </c>
      <c r="B337" s="56" t="s">
        <v>245</v>
      </c>
      <c r="C337" s="44" t="s">
        <v>31</v>
      </c>
      <c r="D337" s="48" t="s">
        <v>30</v>
      </c>
      <c r="E337" s="44" t="s">
        <v>81</v>
      </c>
      <c r="F337" s="48">
        <v>84</v>
      </c>
      <c r="G337" s="48">
        <v>288</v>
      </c>
      <c r="H337" s="38">
        <v>2930</v>
      </c>
      <c r="I337" s="75">
        <v>2930</v>
      </c>
      <c r="J337" s="61"/>
      <c r="K337" s="194"/>
      <c r="L337" s="228"/>
    </row>
    <row r="338" spans="1:12" ht="15" customHeight="1" x14ac:dyDescent="0.3">
      <c r="A338" s="390">
        <v>43376</v>
      </c>
      <c r="B338" s="56" t="s">
        <v>246</v>
      </c>
      <c r="C338" s="44" t="s">
        <v>31</v>
      </c>
      <c r="D338" s="48" t="s">
        <v>30</v>
      </c>
      <c r="E338" s="44" t="s">
        <v>81</v>
      </c>
      <c r="F338" s="48">
        <v>84</v>
      </c>
      <c r="G338" s="48">
        <v>288</v>
      </c>
      <c r="H338" s="38">
        <v>3180</v>
      </c>
      <c r="I338" s="75">
        <v>3180</v>
      </c>
      <c r="J338" s="61"/>
      <c r="K338" s="194"/>
      <c r="L338" s="228"/>
    </row>
    <row r="339" spans="1:12" ht="15" customHeight="1" x14ac:dyDescent="0.3">
      <c r="A339" s="390">
        <v>43376</v>
      </c>
      <c r="B339" s="56" t="s">
        <v>247</v>
      </c>
      <c r="C339" s="44" t="s">
        <v>31</v>
      </c>
      <c r="D339" s="48" t="s">
        <v>30</v>
      </c>
      <c r="E339" s="44" t="s">
        <v>81</v>
      </c>
      <c r="F339" s="48">
        <v>85</v>
      </c>
      <c r="G339" s="48">
        <v>288</v>
      </c>
      <c r="H339" s="38">
        <v>2800</v>
      </c>
      <c r="I339" s="48">
        <v>2800</v>
      </c>
      <c r="J339" s="61"/>
      <c r="K339" s="194"/>
      <c r="L339" s="228"/>
    </row>
    <row r="340" spans="1:12" ht="15" customHeight="1" x14ac:dyDescent="0.3">
      <c r="A340" s="390">
        <v>43376</v>
      </c>
      <c r="B340" s="366" t="s">
        <v>248</v>
      </c>
      <c r="C340" s="44" t="s">
        <v>31</v>
      </c>
      <c r="D340" s="44" t="s">
        <v>30</v>
      </c>
      <c r="E340" s="44" t="s">
        <v>81</v>
      </c>
      <c r="F340" s="44">
        <v>84</v>
      </c>
      <c r="G340" s="44">
        <v>108</v>
      </c>
      <c r="H340" s="439">
        <v>3560</v>
      </c>
      <c r="I340" s="44">
        <v>1068</v>
      </c>
      <c r="J340" s="61"/>
      <c r="K340" s="194"/>
      <c r="L340" s="228"/>
    </row>
    <row r="341" spans="1:12" ht="15" customHeight="1" x14ac:dyDescent="0.3">
      <c r="A341" s="390">
        <v>43376</v>
      </c>
      <c r="B341" s="366" t="s">
        <v>248</v>
      </c>
      <c r="C341" s="44" t="s">
        <v>31</v>
      </c>
      <c r="D341" s="44" t="s">
        <v>30</v>
      </c>
      <c r="E341" s="44" t="s">
        <v>81</v>
      </c>
      <c r="F341" s="44">
        <v>85</v>
      </c>
      <c r="G341" s="44">
        <v>252</v>
      </c>
      <c r="H341" s="440"/>
      <c r="I341" s="44">
        <v>2492</v>
      </c>
      <c r="J341" s="61"/>
      <c r="K341" s="194"/>
      <c r="L341" s="228"/>
    </row>
    <row r="342" spans="1:12" ht="15" customHeight="1" x14ac:dyDescent="0.3">
      <c r="A342" s="390">
        <v>43376</v>
      </c>
      <c r="B342" s="59" t="s">
        <v>249</v>
      </c>
      <c r="C342" s="44" t="s">
        <v>31</v>
      </c>
      <c r="D342" s="44" t="s">
        <v>30</v>
      </c>
      <c r="E342" s="44" t="s">
        <v>81</v>
      </c>
      <c r="F342" s="44">
        <v>85</v>
      </c>
      <c r="G342" s="44">
        <v>288</v>
      </c>
      <c r="H342" s="45">
        <v>2730</v>
      </c>
      <c r="I342" s="44">
        <v>2730</v>
      </c>
      <c r="J342" s="61"/>
      <c r="K342" s="194"/>
      <c r="L342" s="228"/>
    </row>
    <row r="343" spans="1:12" ht="15" customHeight="1" x14ac:dyDescent="0.3">
      <c r="A343" s="390">
        <v>43376</v>
      </c>
      <c r="B343" s="369" t="s">
        <v>250</v>
      </c>
      <c r="C343" s="44" t="s">
        <v>31</v>
      </c>
      <c r="D343" s="48" t="s">
        <v>30</v>
      </c>
      <c r="E343" s="44" t="s">
        <v>81</v>
      </c>
      <c r="F343" s="48">
        <v>84</v>
      </c>
      <c r="G343" s="48">
        <v>180</v>
      </c>
      <c r="H343" s="453">
        <v>3560</v>
      </c>
      <c r="I343" s="48">
        <v>1780</v>
      </c>
      <c r="J343" s="61"/>
      <c r="K343" s="194"/>
      <c r="L343" s="228"/>
    </row>
    <row r="344" spans="1:12" ht="15" customHeight="1" x14ac:dyDescent="0.3">
      <c r="A344" s="390">
        <v>43376</v>
      </c>
      <c r="B344" s="369" t="s">
        <v>250</v>
      </c>
      <c r="C344" s="44" t="s">
        <v>31</v>
      </c>
      <c r="D344" s="48" t="s">
        <v>30</v>
      </c>
      <c r="E344" s="44" t="s">
        <v>81</v>
      </c>
      <c r="F344" s="48">
        <v>85</v>
      </c>
      <c r="G344" s="48">
        <v>180</v>
      </c>
      <c r="H344" s="454"/>
      <c r="I344" s="48">
        <v>1780</v>
      </c>
      <c r="J344" s="61"/>
      <c r="K344" s="194"/>
      <c r="L344" s="228"/>
    </row>
    <row r="345" spans="1:12" ht="15" customHeight="1" x14ac:dyDescent="0.3">
      <c r="A345" s="390">
        <v>43376</v>
      </c>
      <c r="B345" s="56" t="s">
        <v>251</v>
      </c>
      <c r="C345" s="44" t="s">
        <v>31</v>
      </c>
      <c r="D345" s="48" t="s">
        <v>30</v>
      </c>
      <c r="E345" s="44" t="s">
        <v>81</v>
      </c>
      <c r="F345" s="48">
        <v>82</v>
      </c>
      <c r="G345" s="48">
        <v>288</v>
      </c>
      <c r="H345" s="38">
        <v>2830</v>
      </c>
      <c r="I345" s="48">
        <v>2830</v>
      </c>
      <c r="J345" s="61"/>
      <c r="K345" s="194"/>
      <c r="L345" s="228"/>
    </row>
    <row r="346" spans="1:12" ht="15" customHeight="1" x14ac:dyDescent="0.3">
      <c r="A346" s="390">
        <v>43376</v>
      </c>
      <c r="B346" s="56" t="s">
        <v>252</v>
      </c>
      <c r="C346" s="44" t="s">
        <v>31</v>
      </c>
      <c r="D346" s="48" t="s">
        <v>30</v>
      </c>
      <c r="E346" s="44" t="s">
        <v>81</v>
      </c>
      <c r="F346" s="48">
        <v>85</v>
      </c>
      <c r="G346" s="48">
        <v>288</v>
      </c>
      <c r="H346" s="38">
        <v>2780</v>
      </c>
      <c r="I346" s="48">
        <v>2780</v>
      </c>
      <c r="J346" s="61"/>
      <c r="K346" s="194"/>
      <c r="L346" s="228"/>
    </row>
    <row r="347" spans="1:12" ht="15" customHeight="1" x14ac:dyDescent="0.3">
      <c r="A347" s="390">
        <v>43376</v>
      </c>
      <c r="B347" s="56" t="s">
        <v>253</v>
      </c>
      <c r="C347" s="44" t="s">
        <v>31</v>
      </c>
      <c r="D347" s="48" t="s">
        <v>30</v>
      </c>
      <c r="E347" s="44" t="s">
        <v>81</v>
      </c>
      <c r="F347" s="48">
        <v>84</v>
      </c>
      <c r="G347" s="48">
        <v>288</v>
      </c>
      <c r="H347" s="38">
        <v>2860</v>
      </c>
      <c r="I347" s="48">
        <v>2860</v>
      </c>
      <c r="J347" s="61"/>
      <c r="K347" s="194"/>
      <c r="L347" s="228"/>
    </row>
    <row r="348" spans="1:12" ht="15" customHeight="1" x14ac:dyDescent="0.3">
      <c r="A348" s="390">
        <v>43376</v>
      </c>
      <c r="B348" s="369" t="s">
        <v>254</v>
      </c>
      <c r="C348" s="44" t="s">
        <v>31</v>
      </c>
      <c r="D348" s="48" t="s">
        <v>30</v>
      </c>
      <c r="E348" s="44" t="s">
        <v>81</v>
      </c>
      <c r="F348" s="48">
        <v>84</v>
      </c>
      <c r="G348" s="48">
        <v>216</v>
      </c>
      <c r="H348" s="453">
        <v>3490</v>
      </c>
      <c r="I348" s="75">
        <v>2094</v>
      </c>
      <c r="J348" s="61"/>
      <c r="K348" s="194"/>
      <c r="L348" s="228"/>
    </row>
    <row r="349" spans="1:12" ht="15" customHeight="1" x14ac:dyDescent="0.3">
      <c r="A349" s="390">
        <v>43376</v>
      </c>
      <c r="B349" s="369" t="s">
        <v>254</v>
      </c>
      <c r="C349" s="44" t="s">
        <v>31</v>
      </c>
      <c r="D349" s="48" t="s">
        <v>30</v>
      </c>
      <c r="E349" s="44" t="s">
        <v>81</v>
      </c>
      <c r="F349" s="48">
        <v>85</v>
      </c>
      <c r="G349" s="48">
        <v>144</v>
      </c>
      <c r="H349" s="454"/>
      <c r="I349" s="75">
        <v>1396</v>
      </c>
      <c r="J349" s="61"/>
      <c r="K349" s="194"/>
      <c r="L349" s="228"/>
    </row>
    <row r="350" spans="1:12" ht="15" customHeight="1" x14ac:dyDescent="0.3">
      <c r="A350" s="390">
        <v>43376</v>
      </c>
      <c r="B350" s="369" t="s">
        <v>255</v>
      </c>
      <c r="C350" s="44" t="s">
        <v>31</v>
      </c>
      <c r="D350" s="48" t="s">
        <v>30</v>
      </c>
      <c r="E350" s="44" t="s">
        <v>81</v>
      </c>
      <c r="F350" s="48">
        <v>82</v>
      </c>
      <c r="G350" s="48">
        <v>144</v>
      </c>
      <c r="H350" s="453">
        <v>2800</v>
      </c>
      <c r="I350" s="48">
        <v>1400</v>
      </c>
      <c r="J350" s="61"/>
      <c r="K350" s="194"/>
      <c r="L350" s="228"/>
    </row>
    <row r="351" spans="1:12" ht="15" customHeight="1" x14ac:dyDescent="0.3">
      <c r="A351" s="390">
        <v>43376</v>
      </c>
      <c r="B351" s="369" t="s">
        <v>255</v>
      </c>
      <c r="C351" s="44" t="s">
        <v>31</v>
      </c>
      <c r="D351" s="48" t="s">
        <v>30</v>
      </c>
      <c r="E351" s="44" t="s">
        <v>81</v>
      </c>
      <c r="F351" s="48">
        <v>85</v>
      </c>
      <c r="G351" s="48">
        <v>144</v>
      </c>
      <c r="H351" s="454"/>
      <c r="I351" s="48">
        <v>1400</v>
      </c>
      <c r="J351" s="61"/>
      <c r="K351" s="194"/>
      <c r="L351" s="228"/>
    </row>
    <row r="352" spans="1:12" ht="15" customHeight="1" x14ac:dyDescent="0.3">
      <c r="A352" s="390">
        <v>43376</v>
      </c>
      <c r="B352" s="369" t="s">
        <v>256</v>
      </c>
      <c r="C352" s="44" t="s">
        <v>31</v>
      </c>
      <c r="D352" s="48" t="s">
        <v>30</v>
      </c>
      <c r="E352" s="44" t="s">
        <v>81</v>
      </c>
      <c r="F352" s="48">
        <v>82</v>
      </c>
      <c r="G352" s="48">
        <v>144</v>
      </c>
      <c r="H352" s="453">
        <v>3020</v>
      </c>
      <c r="I352" s="48">
        <v>1510</v>
      </c>
      <c r="J352" s="61"/>
      <c r="K352" s="194"/>
      <c r="L352" s="228"/>
    </row>
    <row r="353" spans="1:863" ht="15" customHeight="1" x14ac:dyDescent="0.3">
      <c r="A353" s="390">
        <v>43376</v>
      </c>
      <c r="B353" s="369" t="s">
        <v>256</v>
      </c>
      <c r="C353" s="44" t="s">
        <v>31</v>
      </c>
      <c r="D353" s="48" t="s">
        <v>30</v>
      </c>
      <c r="E353" s="44" t="s">
        <v>81</v>
      </c>
      <c r="F353" s="48">
        <v>85</v>
      </c>
      <c r="G353" s="48">
        <v>72</v>
      </c>
      <c r="H353" s="458"/>
      <c r="I353" s="48">
        <v>755</v>
      </c>
      <c r="J353" s="61"/>
      <c r="K353" s="194"/>
      <c r="L353" s="228"/>
    </row>
    <row r="354" spans="1:863" ht="15" customHeight="1" x14ac:dyDescent="0.3">
      <c r="A354" s="390">
        <v>43376</v>
      </c>
      <c r="B354" s="369" t="s">
        <v>256</v>
      </c>
      <c r="C354" s="44" t="s">
        <v>31</v>
      </c>
      <c r="D354" s="48" t="s">
        <v>30</v>
      </c>
      <c r="E354" s="44" t="s">
        <v>81</v>
      </c>
      <c r="F354" s="48">
        <v>86</v>
      </c>
      <c r="G354" s="48">
        <v>72</v>
      </c>
      <c r="H354" s="454"/>
      <c r="I354" s="48">
        <v>755</v>
      </c>
      <c r="J354" s="61"/>
      <c r="K354" s="194"/>
      <c r="L354" s="228"/>
    </row>
    <row r="355" spans="1:863" ht="15" customHeight="1" x14ac:dyDescent="0.3">
      <c r="A355" s="390">
        <v>43376</v>
      </c>
      <c r="B355" s="56" t="s">
        <v>257</v>
      </c>
      <c r="C355" s="44" t="s">
        <v>31</v>
      </c>
      <c r="D355" s="48" t="s">
        <v>30</v>
      </c>
      <c r="E355" s="44" t="s">
        <v>81</v>
      </c>
      <c r="F355" s="48">
        <v>85</v>
      </c>
      <c r="G355" s="48">
        <v>288</v>
      </c>
      <c r="H355" s="38">
        <v>2910</v>
      </c>
      <c r="I355" s="48">
        <v>2910</v>
      </c>
      <c r="J355" s="61"/>
      <c r="K355" s="194"/>
      <c r="L355" s="228"/>
    </row>
    <row r="356" spans="1:863" ht="15" customHeight="1" x14ac:dyDescent="0.3">
      <c r="A356" s="390">
        <v>43376</v>
      </c>
      <c r="B356" s="369" t="s">
        <v>258</v>
      </c>
      <c r="C356" s="44" t="s">
        <v>31</v>
      </c>
      <c r="D356" s="48" t="s">
        <v>30</v>
      </c>
      <c r="E356" s="44" t="s">
        <v>81</v>
      </c>
      <c r="F356" s="48">
        <v>82</v>
      </c>
      <c r="G356" s="48">
        <v>144</v>
      </c>
      <c r="H356" s="453">
        <v>3560</v>
      </c>
      <c r="I356" s="48">
        <v>1424</v>
      </c>
      <c r="J356" s="61"/>
      <c r="K356" s="194"/>
      <c r="L356" s="228"/>
    </row>
    <row r="357" spans="1:863" ht="15" customHeight="1" x14ac:dyDescent="0.3">
      <c r="A357" s="390">
        <v>43376</v>
      </c>
      <c r="B357" s="369" t="s">
        <v>258</v>
      </c>
      <c r="C357" s="44" t="s">
        <v>31</v>
      </c>
      <c r="D357" s="48" t="s">
        <v>30</v>
      </c>
      <c r="E357" s="44" t="s">
        <v>81</v>
      </c>
      <c r="F357" s="48">
        <v>85</v>
      </c>
      <c r="G357" s="48">
        <v>216</v>
      </c>
      <c r="H357" s="454"/>
      <c r="I357" s="48">
        <v>2136</v>
      </c>
      <c r="J357" s="61"/>
      <c r="K357" s="194"/>
      <c r="L357" s="228"/>
    </row>
    <row r="358" spans="1:863" ht="15" customHeight="1" x14ac:dyDescent="0.3">
      <c r="A358" s="390">
        <v>43376</v>
      </c>
      <c r="B358" s="56" t="s">
        <v>259</v>
      </c>
      <c r="C358" s="44" t="s">
        <v>31</v>
      </c>
      <c r="D358" s="48" t="s">
        <v>30</v>
      </c>
      <c r="E358" s="44" t="s">
        <v>81</v>
      </c>
      <c r="F358" s="48">
        <v>85</v>
      </c>
      <c r="G358" s="48">
        <v>288</v>
      </c>
      <c r="H358" s="38">
        <v>2870</v>
      </c>
      <c r="I358" s="48">
        <v>2870</v>
      </c>
      <c r="J358" s="61"/>
      <c r="K358" s="194"/>
      <c r="L358" s="228"/>
    </row>
    <row r="359" spans="1:863" ht="15" customHeight="1" x14ac:dyDescent="0.3">
      <c r="A359" s="390">
        <v>43376</v>
      </c>
      <c r="B359" s="56" t="s">
        <v>260</v>
      </c>
      <c r="C359" s="44" t="s">
        <v>31</v>
      </c>
      <c r="D359" s="48" t="s">
        <v>30</v>
      </c>
      <c r="E359" s="44" t="s">
        <v>81</v>
      </c>
      <c r="F359" s="48">
        <v>82</v>
      </c>
      <c r="G359" s="48">
        <v>288</v>
      </c>
      <c r="H359" s="38">
        <v>2750</v>
      </c>
      <c r="I359" s="48">
        <v>2750</v>
      </c>
      <c r="J359" s="61"/>
      <c r="K359" s="194"/>
      <c r="L359" s="228"/>
    </row>
    <row r="360" spans="1:863" ht="15" customHeight="1" x14ac:dyDescent="0.3">
      <c r="A360" s="390">
        <v>43376</v>
      </c>
      <c r="B360" s="369" t="s">
        <v>261</v>
      </c>
      <c r="C360" s="44" t="s">
        <v>31</v>
      </c>
      <c r="D360" s="48" t="s">
        <v>30</v>
      </c>
      <c r="E360" s="44" t="s">
        <v>81</v>
      </c>
      <c r="F360" s="48">
        <v>82</v>
      </c>
      <c r="G360" s="48">
        <v>216</v>
      </c>
      <c r="H360" s="453">
        <v>2730</v>
      </c>
      <c r="I360" s="48">
        <v>2047.5</v>
      </c>
      <c r="J360" s="61"/>
      <c r="K360" s="194"/>
      <c r="L360" s="228"/>
    </row>
    <row r="361" spans="1:863" ht="15" customHeight="1" x14ac:dyDescent="0.3">
      <c r="A361" s="390">
        <v>43376</v>
      </c>
      <c r="B361" s="369" t="s">
        <v>261</v>
      </c>
      <c r="C361" s="44" t="s">
        <v>31</v>
      </c>
      <c r="D361" s="48" t="s">
        <v>30</v>
      </c>
      <c r="E361" s="44" t="s">
        <v>81</v>
      </c>
      <c r="F361" s="48">
        <v>84</v>
      </c>
      <c r="G361" s="48">
        <v>72</v>
      </c>
      <c r="H361" s="454"/>
      <c r="I361" s="48">
        <v>682.5</v>
      </c>
      <c r="J361" s="61"/>
      <c r="K361" s="194"/>
      <c r="L361" s="228"/>
    </row>
    <row r="362" spans="1:863" ht="15" customHeight="1" x14ac:dyDescent="0.3">
      <c r="A362" s="390">
        <v>43376</v>
      </c>
      <c r="B362" s="76" t="s">
        <v>262</v>
      </c>
      <c r="C362" s="44" t="s">
        <v>31</v>
      </c>
      <c r="D362" s="48" t="s">
        <v>30</v>
      </c>
      <c r="E362" s="44" t="s">
        <v>81</v>
      </c>
      <c r="F362" s="48">
        <v>84</v>
      </c>
      <c r="G362" s="48">
        <v>288</v>
      </c>
      <c r="H362" s="38">
        <v>2770</v>
      </c>
      <c r="I362" s="48">
        <v>2770</v>
      </c>
      <c r="J362" s="61"/>
      <c r="K362" s="194"/>
      <c r="L362" s="228"/>
    </row>
    <row r="363" spans="1:863" ht="15.75" customHeight="1" x14ac:dyDescent="0.3">
      <c r="A363" s="390">
        <v>43376</v>
      </c>
      <c r="B363" s="76" t="s">
        <v>263</v>
      </c>
      <c r="C363" s="44" t="s">
        <v>31</v>
      </c>
      <c r="D363" s="48" t="s">
        <v>30</v>
      </c>
      <c r="E363" s="44" t="s">
        <v>81</v>
      </c>
      <c r="F363" s="48">
        <v>85</v>
      </c>
      <c r="G363" s="48">
        <v>36</v>
      </c>
      <c r="H363" s="38">
        <v>350</v>
      </c>
      <c r="I363" s="48">
        <v>350</v>
      </c>
      <c r="J363" s="61"/>
      <c r="K363" s="194"/>
      <c r="L363" s="228"/>
    </row>
    <row r="364" spans="1:863" ht="15" customHeight="1" x14ac:dyDescent="0.25">
      <c r="A364" s="390">
        <v>43376</v>
      </c>
      <c r="B364" s="208" t="s">
        <v>264</v>
      </c>
      <c r="C364" s="44" t="s">
        <v>139</v>
      </c>
      <c r="D364" s="44" t="s">
        <v>30</v>
      </c>
      <c r="E364" s="44" t="s">
        <v>138</v>
      </c>
      <c r="F364" s="44">
        <v>27</v>
      </c>
      <c r="G364" s="44">
        <v>180</v>
      </c>
      <c r="H364" s="439">
        <v>3770</v>
      </c>
      <c r="I364" s="44">
        <v>1885</v>
      </c>
      <c r="J364" s="46"/>
      <c r="K364" s="199"/>
      <c r="L364" s="327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</row>
    <row r="365" spans="1:863" ht="15" customHeight="1" x14ac:dyDescent="0.25">
      <c r="A365" s="390">
        <v>43376</v>
      </c>
      <c r="B365" s="208" t="s">
        <v>264</v>
      </c>
      <c r="C365" s="44" t="s">
        <v>139</v>
      </c>
      <c r="D365" s="44" t="s">
        <v>30</v>
      </c>
      <c r="E365" s="44" t="s">
        <v>138</v>
      </c>
      <c r="F365" s="44">
        <v>26</v>
      </c>
      <c r="G365" s="44">
        <v>72</v>
      </c>
      <c r="H365" s="444"/>
      <c r="I365" s="44">
        <v>754</v>
      </c>
      <c r="J365" s="46"/>
      <c r="K365" s="199"/>
      <c r="L365" s="327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</row>
    <row r="366" spans="1:863" ht="15" customHeight="1" x14ac:dyDescent="0.25">
      <c r="A366" s="390">
        <v>43376</v>
      </c>
      <c r="B366" s="208" t="s">
        <v>264</v>
      </c>
      <c r="C366" s="44" t="s">
        <v>139</v>
      </c>
      <c r="D366" s="44" t="s">
        <v>30</v>
      </c>
      <c r="E366" s="44" t="s">
        <v>138</v>
      </c>
      <c r="F366" s="44">
        <v>21</v>
      </c>
      <c r="G366" s="44">
        <v>108</v>
      </c>
      <c r="H366" s="440"/>
      <c r="I366" s="44">
        <v>1131</v>
      </c>
      <c r="J366" s="46"/>
      <c r="K366" s="199"/>
      <c r="L366" s="327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</row>
    <row r="367" spans="1:863" ht="15" customHeight="1" x14ac:dyDescent="0.25">
      <c r="A367" s="390">
        <v>43376</v>
      </c>
      <c r="B367" s="208" t="s">
        <v>265</v>
      </c>
      <c r="C367" s="44" t="s">
        <v>139</v>
      </c>
      <c r="D367" s="44" t="s">
        <v>30</v>
      </c>
      <c r="E367" s="44" t="s">
        <v>138</v>
      </c>
      <c r="F367" s="44">
        <v>27</v>
      </c>
      <c r="G367" s="44">
        <v>288</v>
      </c>
      <c r="H367" s="439">
        <v>3760</v>
      </c>
      <c r="I367" s="44">
        <v>3008</v>
      </c>
      <c r="J367" s="46"/>
      <c r="K367" s="199"/>
      <c r="L367" s="32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</row>
    <row r="368" spans="1:863" ht="15" customHeight="1" x14ac:dyDescent="0.25">
      <c r="A368" s="390">
        <v>43376</v>
      </c>
      <c r="B368" s="208" t="s">
        <v>265</v>
      </c>
      <c r="C368" s="44" t="s">
        <v>139</v>
      </c>
      <c r="D368" s="44" t="s">
        <v>30</v>
      </c>
      <c r="E368" s="44" t="s">
        <v>138</v>
      </c>
      <c r="F368" s="44">
        <v>21</v>
      </c>
      <c r="G368" s="44">
        <v>72</v>
      </c>
      <c r="H368" s="440"/>
      <c r="I368" s="44">
        <v>752</v>
      </c>
      <c r="J368" s="46"/>
      <c r="K368" s="199"/>
      <c r="L368" s="327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</row>
    <row r="369" spans="1:13" customFormat="1" ht="15" customHeight="1" x14ac:dyDescent="0.25">
      <c r="A369" s="390">
        <v>43376</v>
      </c>
      <c r="B369" s="208" t="s">
        <v>266</v>
      </c>
      <c r="C369" s="44" t="s">
        <v>139</v>
      </c>
      <c r="D369" s="44" t="s">
        <v>30</v>
      </c>
      <c r="E369" s="44" t="s">
        <v>138</v>
      </c>
      <c r="F369" s="44">
        <v>27</v>
      </c>
      <c r="G369" s="44">
        <v>144</v>
      </c>
      <c r="H369" s="439">
        <v>3660</v>
      </c>
      <c r="I369" s="44">
        <v>1464</v>
      </c>
      <c r="J369" s="46"/>
      <c r="K369" s="199"/>
      <c r="L369" s="327"/>
      <c r="M369" s="101"/>
    </row>
    <row r="370" spans="1:13" customFormat="1" ht="15" customHeight="1" x14ac:dyDescent="0.25">
      <c r="A370" s="390">
        <v>43376</v>
      </c>
      <c r="B370" s="208" t="s">
        <v>266</v>
      </c>
      <c r="C370" s="44" t="s">
        <v>139</v>
      </c>
      <c r="D370" s="44" t="s">
        <v>30</v>
      </c>
      <c r="E370" s="44" t="s">
        <v>138</v>
      </c>
      <c r="F370" s="44">
        <v>26</v>
      </c>
      <c r="G370" s="44">
        <v>108</v>
      </c>
      <c r="H370" s="444"/>
      <c r="I370" s="44">
        <v>1098</v>
      </c>
      <c r="J370" s="46"/>
      <c r="K370" s="199"/>
      <c r="L370" s="327"/>
      <c r="M370" s="101"/>
    </row>
    <row r="371" spans="1:13" customFormat="1" ht="15" customHeight="1" x14ac:dyDescent="0.25">
      <c r="A371" s="390">
        <v>43376</v>
      </c>
      <c r="B371" s="208" t="s">
        <v>266</v>
      </c>
      <c r="C371" s="44" t="s">
        <v>139</v>
      </c>
      <c r="D371" s="44" t="s">
        <v>30</v>
      </c>
      <c r="E371" s="44" t="s">
        <v>138</v>
      </c>
      <c r="F371" s="44">
        <v>21</v>
      </c>
      <c r="G371" s="44">
        <v>108</v>
      </c>
      <c r="H371" s="440"/>
      <c r="I371" s="44">
        <v>1098</v>
      </c>
      <c r="J371" s="46"/>
      <c r="K371" s="199"/>
      <c r="L371" s="330"/>
      <c r="M371" s="101"/>
    </row>
    <row r="372" spans="1:13" customFormat="1" ht="15" customHeight="1" x14ac:dyDescent="0.25">
      <c r="A372" s="390">
        <v>43376</v>
      </c>
      <c r="B372" s="208" t="s">
        <v>267</v>
      </c>
      <c r="C372" s="44" t="s">
        <v>139</v>
      </c>
      <c r="D372" s="44" t="s">
        <v>30</v>
      </c>
      <c r="E372" s="44" t="s">
        <v>138</v>
      </c>
      <c r="F372" s="44">
        <v>27</v>
      </c>
      <c r="G372" s="44">
        <v>216</v>
      </c>
      <c r="H372" s="439">
        <v>3670</v>
      </c>
      <c r="I372" s="44">
        <v>2202</v>
      </c>
      <c r="J372" s="46"/>
      <c r="K372" s="199"/>
      <c r="L372" s="330"/>
      <c r="M372" s="101"/>
    </row>
    <row r="373" spans="1:13" customFormat="1" ht="15" customHeight="1" x14ac:dyDescent="0.25">
      <c r="A373" s="390">
        <v>43376</v>
      </c>
      <c r="B373" s="208" t="s">
        <v>267</v>
      </c>
      <c r="C373" s="44" t="s">
        <v>139</v>
      </c>
      <c r="D373" s="44" t="s">
        <v>30</v>
      </c>
      <c r="E373" s="44" t="s">
        <v>138</v>
      </c>
      <c r="F373" s="44">
        <v>21</v>
      </c>
      <c r="G373" s="44">
        <v>108</v>
      </c>
      <c r="H373" s="444"/>
      <c r="I373" s="44">
        <v>1101</v>
      </c>
      <c r="J373" s="46"/>
      <c r="K373" s="199"/>
      <c r="L373" s="330"/>
      <c r="M373" s="101"/>
    </row>
    <row r="374" spans="1:13" customFormat="1" ht="15" customHeight="1" x14ac:dyDescent="0.25">
      <c r="A374" s="390">
        <v>43376</v>
      </c>
      <c r="B374" s="208" t="s">
        <v>267</v>
      </c>
      <c r="C374" s="44" t="s">
        <v>139</v>
      </c>
      <c r="D374" s="44" t="s">
        <v>30</v>
      </c>
      <c r="E374" s="44" t="s">
        <v>138</v>
      </c>
      <c r="F374" s="44">
        <v>26</v>
      </c>
      <c r="G374" s="44">
        <v>36</v>
      </c>
      <c r="H374" s="440"/>
      <c r="I374" s="44">
        <v>367</v>
      </c>
      <c r="J374" s="46"/>
      <c r="K374" s="199"/>
      <c r="L374" s="330"/>
      <c r="M374" s="101"/>
    </row>
    <row r="375" spans="1:13" customFormat="1" ht="15" customHeight="1" x14ac:dyDescent="0.25">
      <c r="A375" s="390">
        <v>43376</v>
      </c>
      <c r="B375" s="208" t="s">
        <v>268</v>
      </c>
      <c r="C375" s="44" t="s">
        <v>139</v>
      </c>
      <c r="D375" s="44" t="s">
        <v>30</v>
      </c>
      <c r="E375" s="44" t="s">
        <v>138</v>
      </c>
      <c r="F375" s="44">
        <v>26</v>
      </c>
      <c r="G375" s="44">
        <v>72</v>
      </c>
      <c r="H375" s="439">
        <v>3720</v>
      </c>
      <c r="I375" s="44">
        <v>744</v>
      </c>
      <c r="J375" s="46"/>
      <c r="K375" s="199"/>
      <c r="L375" s="330"/>
      <c r="M375" s="101"/>
    </row>
    <row r="376" spans="1:13" customFormat="1" ht="15" customHeight="1" x14ac:dyDescent="0.25">
      <c r="A376" s="390">
        <v>43376</v>
      </c>
      <c r="B376" s="208" t="s">
        <v>268</v>
      </c>
      <c r="C376" s="44" t="s">
        <v>139</v>
      </c>
      <c r="D376" s="44" t="s">
        <v>30</v>
      </c>
      <c r="E376" s="44" t="s">
        <v>138</v>
      </c>
      <c r="F376" s="44">
        <v>27</v>
      </c>
      <c r="G376" s="44">
        <v>216</v>
      </c>
      <c r="H376" s="444"/>
      <c r="I376" s="44">
        <v>2232</v>
      </c>
      <c r="J376" s="46"/>
      <c r="K376" s="199"/>
      <c r="L376" s="330"/>
      <c r="M376" s="101"/>
    </row>
    <row r="377" spans="1:13" customFormat="1" ht="15" customHeight="1" x14ac:dyDescent="0.3">
      <c r="A377" s="390">
        <v>43376</v>
      </c>
      <c r="B377" s="208" t="s">
        <v>268</v>
      </c>
      <c r="C377" s="44" t="s">
        <v>139</v>
      </c>
      <c r="D377" s="44" t="s">
        <v>30</v>
      </c>
      <c r="E377" s="44" t="s">
        <v>138</v>
      </c>
      <c r="F377" s="48">
        <v>21</v>
      </c>
      <c r="G377" s="48">
        <v>72</v>
      </c>
      <c r="H377" s="440"/>
      <c r="I377" s="48">
        <v>744</v>
      </c>
      <c r="J377" s="48"/>
      <c r="K377" s="194"/>
      <c r="L377" s="228"/>
      <c r="M377" s="101"/>
    </row>
    <row r="378" spans="1:13" customFormat="1" ht="15" customHeight="1" x14ac:dyDescent="0.3">
      <c r="A378" s="390">
        <v>43376</v>
      </c>
      <c r="B378" s="207" t="s">
        <v>269</v>
      </c>
      <c r="C378" s="44" t="s">
        <v>139</v>
      </c>
      <c r="D378" s="44" t="s">
        <v>30</v>
      </c>
      <c r="E378" s="44" t="s">
        <v>138</v>
      </c>
      <c r="F378" s="48">
        <v>27</v>
      </c>
      <c r="G378" s="48">
        <v>144</v>
      </c>
      <c r="H378" s="453">
        <v>3560</v>
      </c>
      <c r="I378" s="48">
        <v>144</v>
      </c>
      <c r="J378" s="48"/>
      <c r="K378" s="194"/>
      <c r="L378" s="228"/>
      <c r="M378" s="101"/>
    </row>
    <row r="379" spans="1:13" customFormat="1" ht="15" customHeight="1" x14ac:dyDescent="0.3">
      <c r="A379" s="390">
        <v>43376</v>
      </c>
      <c r="B379" s="207" t="s">
        <v>269</v>
      </c>
      <c r="C379" s="44" t="s">
        <v>139</v>
      </c>
      <c r="D379" s="44" t="s">
        <v>30</v>
      </c>
      <c r="E379" s="44" t="s">
        <v>138</v>
      </c>
      <c r="F379" s="48">
        <v>21</v>
      </c>
      <c r="G379" s="48">
        <v>216</v>
      </c>
      <c r="H379" s="454"/>
      <c r="I379" s="48">
        <v>216</v>
      </c>
      <c r="J379" s="48"/>
      <c r="K379" s="194"/>
      <c r="L379" s="228"/>
      <c r="M379" s="101"/>
    </row>
    <row r="380" spans="1:13" customFormat="1" ht="15" customHeight="1" x14ac:dyDescent="0.3">
      <c r="A380" s="390">
        <v>43376</v>
      </c>
      <c r="B380" s="207" t="s">
        <v>270</v>
      </c>
      <c r="C380" s="44" t="s">
        <v>139</v>
      </c>
      <c r="D380" s="44" t="s">
        <v>30</v>
      </c>
      <c r="E380" s="44" t="s">
        <v>138</v>
      </c>
      <c r="F380" s="48">
        <v>21</v>
      </c>
      <c r="G380" s="48">
        <v>288</v>
      </c>
      <c r="H380" s="453">
        <v>36550</v>
      </c>
      <c r="I380" s="48">
        <v>2920</v>
      </c>
      <c r="J380" s="48"/>
      <c r="K380" s="194"/>
      <c r="L380" s="228"/>
      <c r="M380" s="101"/>
    </row>
    <row r="381" spans="1:13" customFormat="1" ht="15" customHeight="1" x14ac:dyDescent="0.3">
      <c r="A381" s="390">
        <v>43376</v>
      </c>
      <c r="B381" s="207" t="s">
        <v>270</v>
      </c>
      <c r="C381" s="44" t="s">
        <v>139</v>
      </c>
      <c r="D381" s="44" t="s">
        <v>30</v>
      </c>
      <c r="E381" s="44" t="s">
        <v>138</v>
      </c>
      <c r="F381" s="48">
        <v>26</v>
      </c>
      <c r="G381" s="48">
        <v>72</v>
      </c>
      <c r="H381" s="454"/>
      <c r="I381" s="48">
        <v>730</v>
      </c>
      <c r="J381" s="48"/>
      <c r="K381" s="194"/>
      <c r="L381" s="228"/>
      <c r="M381" s="101"/>
    </row>
    <row r="382" spans="1:13" customFormat="1" ht="15" customHeight="1" x14ac:dyDescent="0.3">
      <c r="A382" s="390">
        <v>43376</v>
      </c>
      <c r="B382" s="208" t="s">
        <v>271</v>
      </c>
      <c r="C382" s="44" t="s">
        <v>139</v>
      </c>
      <c r="D382" s="44" t="s">
        <v>30</v>
      </c>
      <c r="E382" s="44" t="s">
        <v>138</v>
      </c>
      <c r="F382" s="48">
        <v>21</v>
      </c>
      <c r="G382" s="48">
        <v>108</v>
      </c>
      <c r="H382" s="453">
        <v>3720</v>
      </c>
      <c r="I382" s="48">
        <v>1116</v>
      </c>
      <c r="J382" s="48"/>
      <c r="K382" s="194"/>
      <c r="L382" s="228"/>
      <c r="M382" s="101"/>
    </row>
    <row r="383" spans="1:13" customFormat="1" ht="15" customHeight="1" x14ac:dyDescent="0.3">
      <c r="A383" s="390">
        <v>43376</v>
      </c>
      <c r="B383" s="208" t="s">
        <v>271</v>
      </c>
      <c r="C383" s="44" t="s">
        <v>139</v>
      </c>
      <c r="D383" s="44" t="s">
        <v>30</v>
      </c>
      <c r="E383" s="44" t="s">
        <v>138</v>
      </c>
      <c r="F383" s="48">
        <v>26</v>
      </c>
      <c r="G383" s="48">
        <v>108</v>
      </c>
      <c r="H383" s="458"/>
      <c r="I383" s="48">
        <v>1116</v>
      </c>
      <c r="J383" s="48"/>
      <c r="K383" s="194"/>
      <c r="L383" s="228"/>
      <c r="M383" s="101"/>
    </row>
    <row r="384" spans="1:13" customFormat="1" ht="15" customHeight="1" x14ac:dyDescent="0.25">
      <c r="A384" s="390">
        <v>43376</v>
      </c>
      <c r="B384" s="208" t="s">
        <v>271</v>
      </c>
      <c r="C384" s="44" t="s">
        <v>139</v>
      </c>
      <c r="D384" s="44" t="s">
        <v>30</v>
      </c>
      <c r="E384" s="44" t="s">
        <v>138</v>
      </c>
      <c r="F384" s="44">
        <v>27</v>
      </c>
      <c r="G384" s="44">
        <v>144</v>
      </c>
      <c r="H384" s="454"/>
      <c r="I384" s="44">
        <v>1488</v>
      </c>
      <c r="J384" s="46"/>
      <c r="K384" s="199"/>
      <c r="L384" s="327"/>
      <c r="M384" s="101"/>
    </row>
    <row r="385" spans="1:14" customFormat="1" ht="15" customHeight="1" x14ac:dyDescent="0.25">
      <c r="A385" s="390">
        <v>43376</v>
      </c>
      <c r="B385" s="207" t="s">
        <v>272</v>
      </c>
      <c r="C385" s="44" t="s">
        <v>139</v>
      </c>
      <c r="D385" s="44" t="s">
        <v>30</v>
      </c>
      <c r="E385" s="44" t="s">
        <v>138</v>
      </c>
      <c r="F385" s="44">
        <v>21</v>
      </c>
      <c r="G385" s="44">
        <v>216</v>
      </c>
      <c r="H385" s="439">
        <v>3650</v>
      </c>
      <c r="I385" s="44">
        <v>2190</v>
      </c>
      <c r="J385" s="46"/>
      <c r="K385" s="199"/>
      <c r="L385" s="327"/>
      <c r="M385" s="101"/>
    </row>
    <row r="386" spans="1:14" customFormat="1" ht="15" customHeight="1" x14ac:dyDescent="0.25">
      <c r="A386" s="390">
        <v>43376</v>
      </c>
      <c r="B386" s="207" t="s">
        <v>272</v>
      </c>
      <c r="C386" s="44" t="s">
        <v>139</v>
      </c>
      <c r="D386" s="44" t="s">
        <v>30</v>
      </c>
      <c r="E386" s="44" t="s">
        <v>138</v>
      </c>
      <c r="F386" s="44">
        <v>27</v>
      </c>
      <c r="G386" s="44">
        <v>144</v>
      </c>
      <c r="H386" s="440"/>
      <c r="I386" s="44">
        <v>1460</v>
      </c>
      <c r="J386" s="46"/>
      <c r="K386" s="199"/>
      <c r="L386" s="327"/>
      <c r="M386" s="101"/>
    </row>
    <row r="387" spans="1:14" customFormat="1" ht="15" customHeight="1" x14ac:dyDescent="0.25">
      <c r="A387" s="390">
        <v>43376</v>
      </c>
      <c r="B387" s="208" t="s">
        <v>273</v>
      </c>
      <c r="C387" s="44" t="s">
        <v>139</v>
      </c>
      <c r="D387" s="44" t="s">
        <v>30</v>
      </c>
      <c r="E387" s="44" t="s">
        <v>138</v>
      </c>
      <c r="F387" s="44">
        <v>21</v>
      </c>
      <c r="G387" s="44">
        <v>108</v>
      </c>
      <c r="H387" s="439">
        <v>3750</v>
      </c>
      <c r="I387" s="44">
        <v>1125</v>
      </c>
      <c r="J387" s="46"/>
      <c r="K387" s="199"/>
      <c r="L387" s="327"/>
      <c r="M387" s="101"/>
    </row>
    <row r="388" spans="1:14" customFormat="1" ht="15" customHeight="1" x14ac:dyDescent="0.25">
      <c r="A388" s="390">
        <v>43376</v>
      </c>
      <c r="B388" s="208" t="s">
        <v>273</v>
      </c>
      <c r="C388" s="44" t="s">
        <v>139</v>
      </c>
      <c r="D388" s="44" t="s">
        <v>30</v>
      </c>
      <c r="E388" s="44" t="s">
        <v>138</v>
      </c>
      <c r="F388" s="44">
        <v>26</v>
      </c>
      <c r="G388" s="44">
        <v>72</v>
      </c>
      <c r="H388" s="444"/>
      <c r="I388" s="44">
        <v>750</v>
      </c>
      <c r="J388" s="46"/>
      <c r="K388" s="199"/>
      <c r="L388" s="327"/>
      <c r="M388" s="101"/>
    </row>
    <row r="389" spans="1:14" customFormat="1" ht="15" customHeight="1" x14ac:dyDescent="0.25">
      <c r="A389" s="390">
        <v>43376</v>
      </c>
      <c r="B389" s="208" t="s">
        <v>273</v>
      </c>
      <c r="C389" s="44" t="s">
        <v>139</v>
      </c>
      <c r="D389" s="44" t="s">
        <v>30</v>
      </c>
      <c r="E389" s="44" t="s">
        <v>138</v>
      </c>
      <c r="F389" s="44">
        <v>27</v>
      </c>
      <c r="G389" s="44">
        <v>180</v>
      </c>
      <c r="H389" s="440"/>
      <c r="I389" s="44">
        <v>1875</v>
      </c>
      <c r="J389" s="46"/>
      <c r="K389" s="199"/>
      <c r="L389" s="327"/>
      <c r="M389" s="101"/>
    </row>
    <row r="390" spans="1:14" customFormat="1" ht="15" customHeight="1" x14ac:dyDescent="0.25">
      <c r="A390" s="390">
        <v>43376</v>
      </c>
      <c r="B390" s="208" t="s">
        <v>274</v>
      </c>
      <c r="C390" s="44" t="s">
        <v>139</v>
      </c>
      <c r="D390" s="44" t="s">
        <v>30</v>
      </c>
      <c r="E390" s="44" t="s">
        <v>138</v>
      </c>
      <c r="F390" s="44">
        <v>27</v>
      </c>
      <c r="G390" s="44">
        <v>108</v>
      </c>
      <c r="H390" s="439">
        <f>SUM(I390:I392)</f>
        <v>3790</v>
      </c>
      <c r="I390" s="44">
        <v>1137</v>
      </c>
      <c r="J390" s="46"/>
      <c r="K390" s="199"/>
      <c r="L390" s="327"/>
      <c r="M390" s="101"/>
    </row>
    <row r="391" spans="1:14" customFormat="1" ht="15" customHeight="1" x14ac:dyDescent="0.25">
      <c r="A391" s="390">
        <v>43376</v>
      </c>
      <c r="B391" s="208" t="s">
        <v>274</v>
      </c>
      <c r="C391" s="44" t="s">
        <v>139</v>
      </c>
      <c r="D391" s="44" t="s">
        <v>30</v>
      </c>
      <c r="E391" s="44" t="s">
        <v>138</v>
      </c>
      <c r="F391" s="44">
        <v>26</v>
      </c>
      <c r="G391" s="44">
        <v>144</v>
      </c>
      <c r="H391" s="444"/>
      <c r="I391" s="44">
        <v>1516</v>
      </c>
      <c r="J391" s="46"/>
      <c r="K391" s="199"/>
      <c r="L391" s="330"/>
      <c r="M391" s="101"/>
    </row>
    <row r="392" spans="1:14" customFormat="1" ht="15" customHeight="1" x14ac:dyDescent="0.25">
      <c r="A392" s="390">
        <v>43376</v>
      </c>
      <c r="B392" s="208" t="s">
        <v>274</v>
      </c>
      <c r="C392" s="44" t="s">
        <v>139</v>
      </c>
      <c r="D392" s="44" t="s">
        <v>30</v>
      </c>
      <c r="E392" s="44" t="s">
        <v>138</v>
      </c>
      <c r="F392" s="44">
        <v>21</v>
      </c>
      <c r="G392" s="44">
        <v>108</v>
      </c>
      <c r="H392" s="440"/>
      <c r="I392" s="44">
        <v>1137</v>
      </c>
      <c r="J392" s="46"/>
      <c r="K392" s="199"/>
      <c r="L392" s="330"/>
      <c r="M392" s="101"/>
    </row>
    <row r="393" spans="1:14" customFormat="1" ht="15" customHeight="1" x14ac:dyDescent="0.25">
      <c r="A393" s="390">
        <v>43376</v>
      </c>
      <c r="B393" s="208" t="s">
        <v>275</v>
      </c>
      <c r="C393" s="44" t="s">
        <v>139</v>
      </c>
      <c r="D393" s="44" t="s">
        <v>30</v>
      </c>
      <c r="E393" s="44" t="s">
        <v>138</v>
      </c>
      <c r="F393" s="44">
        <v>21</v>
      </c>
      <c r="G393" s="44">
        <v>108</v>
      </c>
      <c r="H393" s="439">
        <v>3710</v>
      </c>
      <c r="I393" s="44">
        <v>1113</v>
      </c>
      <c r="J393" s="46"/>
      <c r="K393" s="199"/>
      <c r="L393" s="330"/>
      <c r="M393" s="101"/>
    </row>
    <row r="394" spans="1:14" customFormat="1" ht="15" customHeight="1" x14ac:dyDescent="0.25">
      <c r="A394" s="390">
        <v>43376</v>
      </c>
      <c r="B394" s="208" t="s">
        <v>275</v>
      </c>
      <c r="C394" s="44" t="s">
        <v>139</v>
      </c>
      <c r="D394" s="44" t="s">
        <v>30</v>
      </c>
      <c r="E394" s="44" t="s">
        <v>138</v>
      </c>
      <c r="F394" s="44">
        <v>26</v>
      </c>
      <c r="G394" s="44">
        <v>216</v>
      </c>
      <c r="H394" s="444"/>
      <c r="I394" s="44">
        <v>2226</v>
      </c>
      <c r="J394" s="46"/>
      <c r="K394" s="199"/>
      <c r="L394" s="330"/>
      <c r="M394" s="101"/>
    </row>
    <row r="395" spans="1:14" customFormat="1" ht="15" customHeight="1" x14ac:dyDescent="0.25">
      <c r="A395" s="390">
        <v>43376</v>
      </c>
      <c r="B395" s="208" t="s">
        <v>275</v>
      </c>
      <c r="C395" s="44" t="s">
        <v>139</v>
      </c>
      <c r="D395" s="44" t="s">
        <v>30</v>
      </c>
      <c r="E395" s="44" t="s">
        <v>138</v>
      </c>
      <c r="F395" s="44">
        <v>27</v>
      </c>
      <c r="G395" s="44">
        <v>36</v>
      </c>
      <c r="H395" s="440"/>
      <c r="I395" s="44">
        <v>371</v>
      </c>
      <c r="J395" s="46"/>
      <c r="K395" s="199"/>
      <c r="L395" s="330"/>
      <c r="M395" s="101"/>
    </row>
    <row r="396" spans="1:14" customFormat="1" ht="15" customHeight="1" x14ac:dyDescent="0.25">
      <c r="A396" s="390">
        <v>43376</v>
      </c>
      <c r="B396" s="208" t="s">
        <v>276</v>
      </c>
      <c r="C396" s="44" t="s">
        <v>139</v>
      </c>
      <c r="D396" s="44" t="s">
        <v>30</v>
      </c>
      <c r="E396" s="44" t="s">
        <v>138</v>
      </c>
      <c r="F396" s="44">
        <v>26</v>
      </c>
      <c r="G396" s="44">
        <v>252</v>
      </c>
      <c r="H396" s="439">
        <v>3780</v>
      </c>
      <c r="I396" s="44">
        <v>2646</v>
      </c>
      <c r="J396" s="46"/>
      <c r="K396" s="199"/>
      <c r="L396" s="330"/>
      <c r="M396" s="101"/>
    </row>
    <row r="397" spans="1:14" customFormat="1" ht="15" customHeight="1" x14ac:dyDescent="0.3">
      <c r="A397" s="390">
        <v>43376</v>
      </c>
      <c r="B397" s="208" t="s">
        <v>276</v>
      </c>
      <c r="C397" s="44" t="s">
        <v>139</v>
      </c>
      <c r="D397" s="44" t="s">
        <v>30</v>
      </c>
      <c r="E397" s="44" t="s">
        <v>138</v>
      </c>
      <c r="F397" s="48">
        <v>21</v>
      </c>
      <c r="G397" s="48">
        <v>108</v>
      </c>
      <c r="H397" s="440"/>
      <c r="I397" s="48">
        <v>1134</v>
      </c>
      <c r="J397" s="48"/>
      <c r="K397" s="194"/>
      <c r="L397" s="228"/>
      <c r="M397" s="101"/>
    </row>
    <row r="398" spans="1:14" customFormat="1" ht="15" customHeight="1" x14ac:dyDescent="0.3">
      <c r="A398" s="390">
        <v>43376</v>
      </c>
      <c r="B398" s="208" t="s">
        <v>277</v>
      </c>
      <c r="C398" s="44" t="s">
        <v>139</v>
      </c>
      <c r="D398" s="44" t="s">
        <v>30</v>
      </c>
      <c r="E398" s="44" t="s">
        <v>138</v>
      </c>
      <c r="F398" s="48">
        <v>26</v>
      </c>
      <c r="G398" s="48">
        <v>216</v>
      </c>
      <c r="H398" s="453">
        <v>3770</v>
      </c>
      <c r="I398" s="48">
        <v>2262</v>
      </c>
      <c r="J398" s="48"/>
      <c r="K398" s="194"/>
      <c r="L398" s="228"/>
      <c r="M398" s="101"/>
    </row>
    <row r="399" spans="1:14" customFormat="1" ht="15" customHeight="1" x14ac:dyDescent="0.3">
      <c r="A399" s="390">
        <v>43376</v>
      </c>
      <c r="B399" s="208" t="s">
        <v>277</v>
      </c>
      <c r="C399" s="44" t="s">
        <v>139</v>
      </c>
      <c r="D399" s="44" t="s">
        <v>30</v>
      </c>
      <c r="E399" s="44" t="s">
        <v>138</v>
      </c>
      <c r="F399" s="48">
        <v>21</v>
      </c>
      <c r="G399" s="48">
        <v>144</v>
      </c>
      <c r="H399" s="454"/>
      <c r="I399" s="48">
        <v>1508</v>
      </c>
      <c r="J399" s="48"/>
      <c r="K399" s="194"/>
      <c r="L399" s="228"/>
      <c r="M399" s="101"/>
    </row>
    <row r="400" spans="1:14" customFormat="1" ht="18.75" customHeight="1" thickBot="1" x14ac:dyDescent="0.35">
      <c r="A400" s="390">
        <v>43376</v>
      </c>
      <c r="B400" s="129" t="s">
        <v>278</v>
      </c>
      <c r="C400" s="130" t="s">
        <v>139</v>
      </c>
      <c r="D400" s="130" t="s">
        <v>30</v>
      </c>
      <c r="E400" s="130" t="s">
        <v>138</v>
      </c>
      <c r="F400" s="130">
        <v>21</v>
      </c>
      <c r="G400" s="130">
        <v>180</v>
      </c>
      <c r="H400" s="131">
        <v>3099</v>
      </c>
      <c r="I400" s="130">
        <v>1800</v>
      </c>
      <c r="J400" s="130"/>
      <c r="K400" s="200" t="s">
        <v>365</v>
      </c>
      <c r="L400" s="232" t="s">
        <v>367</v>
      </c>
      <c r="M400" s="244" t="s">
        <v>438</v>
      </c>
      <c r="N400" s="226"/>
    </row>
    <row r="401" spans="1:13" customFormat="1" ht="15.75" customHeight="1" thickBot="1" x14ac:dyDescent="0.3">
      <c r="A401" s="390">
        <v>43377</v>
      </c>
      <c r="B401" s="375" t="s">
        <v>286</v>
      </c>
      <c r="C401" s="123" t="s">
        <v>139</v>
      </c>
      <c r="D401" s="119" t="s">
        <v>30</v>
      </c>
      <c r="E401" s="119" t="s">
        <v>287</v>
      </c>
      <c r="F401" s="124">
        <v>26</v>
      </c>
      <c r="G401" s="119">
        <v>108</v>
      </c>
      <c r="H401" s="449">
        <v>3210</v>
      </c>
      <c r="I401" s="124">
        <v>1070</v>
      </c>
      <c r="J401" s="120"/>
      <c r="K401" s="283" t="s">
        <v>364</v>
      </c>
      <c r="L401" s="276" t="s">
        <v>213</v>
      </c>
      <c r="M401" s="239"/>
    </row>
    <row r="402" spans="1:13" customFormat="1" ht="15.75" customHeight="1" thickBot="1" x14ac:dyDescent="0.3">
      <c r="A402" s="390">
        <v>43377</v>
      </c>
      <c r="B402" s="375" t="s">
        <v>286</v>
      </c>
      <c r="C402" s="123" t="s">
        <v>139</v>
      </c>
      <c r="D402" s="119" t="s">
        <v>30</v>
      </c>
      <c r="E402" s="119" t="s">
        <v>287</v>
      </c>
      <c r="F402" s="124">
        <v>19</v>
      </c>
      <c r="G402" s="119">
        <v>108</v>
      </c>
      <c r="H402" s="449"/>
      <c r="I402" s="124">
        <v>1070</v>
      </c>
      <c r="J402" s="120"/>
      <c r="K402" s="283" t="s">
        <v>364</v>
      </c>
      <c r="L402" s="276" t="s">
        <v>213</v>
      </c>
      <c r="M402" s="239"/>
    </row>
    <row r="403" spans="1:13" customFormat="1" ht="16.5" customHeight="1" thickBot="1" x14ac:dyDescent="0.3">
      <c r="A403" s="390">
        <v>43377</v>
      </c>
      <c r="B403" s="375" t="s">
        <v>286</v>
      </c>
      <c r="C403" s="123" t="s">
        <v>139</v>
      </c>
      <c r="D403" s="119" t="s">
        <v>30</v>
      </c>
      <c r="E403" s="119" t="s">
        <v>287</v>
      </c>
      <c r="F403" s="124">
        <v>20</v>
      </c>
      <c r="G403" s="119">
        <v>108</v>
      </c>
      <c r="H403" s="449"/>
      <c r="I403" s="124">
        <v>1070</v>
      </c>
      <c r="J403" s="120"/>
      <c r="K403" s="283" t="s">
        <v>364</v>
      </c>
      <c r="L403" s="276" t="s">
        <v>213</v>
      </c>
      <c r="M403" s="239"/>
    </row>
    <row r="404" spans="1:13" customFormat="1" ht="15.75" customHeight="1" thickBot="1" x14ac:dyDescent="0.3">
      <c r="A404" s="390">
        <v>43377</v>
      </c>
      <c r="B404" s="375" t="s">
        <v>288</v>
      </c>
      <c r="C404" s="123" t="s">
        <v>139</v>
      </c>
      <c r="D404" s="119" t="s">
        <v>30</v>
      </c>
      <c r="E404" s="119" t="s">
        <v>287</v>
      </c>
      <c r="F404" s="124">
        <v>19</v>
      </c>
      <c r="G404" s="119">
        <v>144</v>
      </c>
      <c r="H404" s="441">
        <v>3580</v>
      </c>
      <c r="I404" s="119">
        <v>1432</v>
      </c>
      <c r="J404" s="120"/>
      <c r="K404" s="283" t="s">
        <v>364</v>
      </c>
      <c r="L404" s="276" t="s">
        <v>213</v>
      </c>
      <c r="M404" s="239"/>
    </row>
    <row r="405" spans="1:13" customFormat="1" ht="15.75" customHeight="1" thickBot="1" x14ac:dyDescent="0.3">
      <c r="A405" s="390">
        <v>43377</v>
      </c>
      <c r="B405" s="375" t="s">
        <v>288</v>
      </c>
      <c r="C405" s="123" t="s">
        <v>139</v>
      </c>
      <c r="D405" s="119" t="s">
        <v>30</v>
      </c>
      <c r="E405" s="119" t="s">
        <v>287</v>
      </c>
      <c r="F405" s="124">
        <v>20</v>
      </c>
      <c r="G405" s="119">
        <v>144</v>
      </c>
      <c r="H405" s="442"/>
      <c r="I405" s="119">
        <v>1432</v>
      </c>
      <c r="J405" s="120"/>
      <c r="K405" s="283" t="s">
        <v>364</v>
      </c>
      <c r="L405" s="276" t="s">
        <v>213</v>
      </c>
      <c r="M405" s="239"/>
    </row>
    <row r="406" spans="1:13" customFormat="1" ht="15.75" customHeight="1" thickBot="1" x14ac:dyDescent="0.3">
      <c r="A406" s="390">
        <v>43377</v>
      </c>
      <c r="B406" s="375" t="s">
        <v>288</v>
      </c>
      <c r="C406" s="123" t="s">
        <v>139</v>
      </c>
      <c r="D406" s="119" t="s">
        <v>30</v>
      </c>
      <c r="E406" s="119" t="s">
        <v>287</v>
      </c>
      <c r="F406" s="124">
        <v>21</v>
      </c>
      <c r="G406" s="119">
        <v>36</v>
      </c>
      <c r="H406" s="442"/>
      <c r="I406" s="119">
        <v>358</v>
      </c>
      <c r="J406" s="120"/>
      <c r="K406" s="283" t="s">
        <v>364</v>
      </c>
      <c r="L406" s="276" t="s">
        <v>213</v>
      </c>
      <c r="M406" s="239"/>
    </row>
    <row r="407" spans="1:13" customFormat="1" ht="16.5" customHeight="1" thickBot="1" x14ac:dyDescent="0.3">
      <c r="A407" s="390">
        <v>43377</v>
      </c>
      <c r="B407" s="375" t="s">
        <v>288</v>
      </c>
      <c r="C407" s="123" t="s">
        <v>139</v>
      </c>
      <c r="D407" s="119" t="s">
        <v>30</v>
      </c>
      <c r="E407" s="119" t="s">
        <v>287</v>
      </c>
      <c r="F407" s="124">
        <v>26</v>
      </c>
      <c r="G407" s="119">
        <v>36</v>
      </c>
      <c r="H407" s="443"/>
      <c r="I407" s="119">
        <v>358</v>
      </c>
      <c r="J407" s="120"/>
      <c r="K407" s="283" t="s">
        <v>364</v>
      </c>
      <c r="L407" s="276" t="s">
        <v>213</v>
      </c>
      <c r="M407" s="239"/>
    </row>
    <row r="408" spans="1:13" customFormat="1" ht="15.75" customHeight="1" thickBot="1" x14ac:dyDescent="0.3">
      <c r="A408" s="390">
        <v>43377</v>
      </c>
      <c r="B408" s="375" t="s">
        <v>289</v>
      </c>
      <c r="C408" s="123" t="s">
        <v>139</v>
      </c>
      <c r="D408" s="119" t="s">
        <v>30</v>
      </c>
      <c r="E408" s="119" t="s">
        <v>287</v>
      </c>
      <c r="F408" s="124">
        <v>20</v>
      </c>
      <c r="G408" s="119">
        <v>216</v>
      </c>
      <c r="H408" s="441">
        <v>3570</v>
      </c>
      <c r="I408" s="119">
        <v>2142</v>
      </c>
      <c r="J408" s="120"/>
      <c r="K408" s="283" t="s">
        <v>364</v>
      </c>
      <c r="L408" s="276" t="s">
        <v>213</v>
      </c>
      <c r="M408" s="239"/>
    </row>
    <row r="409" spans="1:13" customFormat="1" ht="15.75" customHeight="1" thickBot="1" x14ac:dyDescent="0.3">
      <c r="A409" s="390">
        <v>43377</v>
      </c>
      <c r="B409" s="375" t="s">
        <v>289</v>
      </c>
      <c r="C409" s="123" t="s">
        <v>139</v>
      </c>
      <c r="D409" s="119" t="s">
        <v>30</v>
      </c>
      <c r="E409" s="119" t="s">
        <v>287</v>
      </c>
      <c r="F409" s="124">
        <v>21</v>
      </c>
      <c r="G409" s="119">
        <v>36</v>
      </c>
      <c r="H409" s="442"/>
      <c r="I409" s="119">
        <v>357</v>
      </c>
      <c r="J409" s="120"/>
      <c r="K409" s="283" t="s">
        <v>364</v>
      </c>
      <c r="L409" s="276" t="s">
        <v>213</v>
      </c>
      <c r="M409" s="239"/>
    </row>
    <row r="410" spans="1:13" customFormat="1" ht="15.75" customHeight="1" thickBot="1" x14ac:dyDescent="0.3">
      <c r="A410" s="390">
        <v>43377</v>
      </c>
      <c r="B410" s="375" t="s">
        <v>289</v>
      </c>
      <c r="C410" s="123" t="s">
        <v>139</v>
      </c>
      <c r="D410" s="119" t="s">
        <v>30</v>
      </c>
      <c r="E410" s="119" t="s">
        <v>287</v>
      </c>
      <c r="F410" s="124">
        <v>19</v>
      </c>
      <c r="G410" s="119">
        <v>72</v>
      </c>
      <c r="H410" s="442"/>
      <c r="I410" s="119">
        <v>714</v>
      </c>
      <c r="J410" s="120"/>
      <c r="K410" s="283" t="s">
        <v>364</v>
      </c>
      <c r="L410" s="276" t="s">
        <v>213</v>
      </c>
      <c r="M410" s="239"/>
    </row>
    <row r="411" spans="1:13" customFormat="1" ht="16.5" customHeight="1" thickBot="1" x14ac:dyDescent="0.3">
      <c r="A411" s="390">
        <v>43377</v>
      </c>
      <c r="B411" s="375" t="s">
        <v>289</v>
      </c>
      <c r="C411" s="123" t="s">
        <v>139</v>
      </c>
      <c r="D411" s="119" t="s">
        <v>30</v>
      </c>
      <c r="E411" s="119" t="s">
        <v>287</v>
      </c>
      <c r="F411" s="124">
        <v>26</v>
      </c>
      <c r="G411" s="119">
        <v>36</v>
      </c>
      <c r="H411" s="443"/>
      <c r="I411" s="119">
        <v>357</v>
      </c>
      <c r="J411" s="125"/>
      <c r="K411" s="283" t="s">
        <v>364</v>
      </c>
      <c r="L411" s="276" t="s">
        <v>213</v>
      </c>
      <c r="M411" s="239"/>
    </row>
    <row r="412" spans="1:13" customFormat="1" ht="15.75" customHeight="1" thickBot="1" x14ac:dyDescent="0.35">
      <c r="A412" s="390">
        <v>43377</v>
      </c>
      <c r="B412" s="376" t="s">
        <v>290</v>
      </c>
      <c r="C412" s="159" t="s">
        <v>139</v>
      </c>
      <c r="D412" s="44" t="s">
        <v>30</v>
      </c>
      <c r="E412" s="44" t="s">
        <v>287</v>
      </c>
      <c r="F412" s="77">
        <v>21</v>
      </c>
      <c r="G412" s="44">
        <v>36</v>
      </c>
      <c r="H412" s="428">
        <v>3630</v>
      </c>
      <c r="I412" s="44">
        <v>363</v>
      </c>
      <c r="J412" s="152"/>
      <c r="K412" s="331"/>
      <c r="L412" s="332"/>
      <c r="M412" s="101"/>
    </row>
    <row r="413" spans="1:13" customFormat="1" ht="15.75" customHeight="1" thickBot="1" x14ac:dyDescent="0.35">
      <c r="A413" s="390">
        <v>43377</v>
      </c>
      <c r="B413" s="376" t="s">
        <v>290</v>
      </c>
      <c r="C413" s="159" t="s">
        <v>139</v>
      </c>
      <c r="D413" s="44" t="s">
        <v>30</v>
      </c>
      <c r="E413" s="44" t="s">
        <v>287</v>
      </c>
      <c r="F413" s="77">
        <v>26</v>
      </c>
      <c r="G413" s="44">
        <v>72</v>
      </c>
      <c r="H413" s="450"/>
      <c r="I413" s="44">
        <v>726</v>
      </c>
      <c r="J413" s="152"/>
      <c r="K413" s="331"/>
      <c r="L413" s="332"/>
      <c r="M413" s="101"/>
    </row>
    <row r="414" spans="1:13" customFormat="1" ht="16.5" customHeight="1" thickBot="1" x14ac:dyDescent="0.35">
      <c r="A414" s="390">
        <v>43377</v>
      </c>
      <c r="B414" s="376" t="s">
        <v>290</v>
      </c>
      <c r="C414" s="159" t="s">
        <v>139</v>
      </c>
      <c r="D414" s="44" t="s">
        <v>30</v>
      </c>
      <c r="E414" s="44" t="s">
        <v>287</v>
      </c>
      <c r="F414" s="77">
        <v>19</v>
      </c>
      <c r="G414" s="44">
        <v>252</v>
      </c>
      <c r="H414" s="429"/>
      <c r="I414" s="44">
        <v>2541</v>
      </c>
      <c r="J414" s="152"/>
      <c r="K414" s="331"/>
      <c r="L414" s="332"/>
      <c r="M414" s="101"/>
    </row>
    <row r="415" spans="1:13" customFormat="1" ht="15.75" customHeight="1" thickBot="1" x14ac:dyDescent="0.35">
      <c r="A415" s="390">
        <v>43377</v>
      </c>
      <c r="B415" s="376" t="s">
        <v>291</v>
      </c>
      <c r="C415" s="159" t="s">
        <v>139</v>
      </c>
      <c r="D415" s="44" t="s">
        <v>30</v>
      </c>
      <c r="E415" s="44" t="s">
        <v>287</v>
      </c>
      <c r="F415" s="77">
        <v>19</v>
      </c>
      <c r="G415" s="44">
        <v>216</v>
      </c>
      <c r="H415" s="428">
        <v>3550</v>
      </c>
      <c r="I415" s="150">
        <v>2130</v>
      </c>
      <c r="J415" s="152"/>
      <c r="K415" s="331"/>
      <c r="L415" s="332"/>
      <c r="M415" s="101"/>
    </row>
    <row r="416" spans="1:13" customFormat="1" ht="15" customHeight="1" thickBot="1" x14ac:dyDescent="0.35">
      <c r="A416" s="390">
        <v>43377</v>
      </c>
      <c r="B416" s="376" t="s">
        <v>291</v>
      </c>
      <c r="C416" s="159" t="s">
        <v>139</v>
      </c>
      <c r="D416" s="44" t="s">
        <v>30</v>
      </c>
      <c r="E416" s="44" t="s">
        <v>287</v>
      </c>
      <c r="F416" s="77">
        <v>20</v>
      </c>
      <c r="G416" s="44">
        <v>144</v>
      </c>
      <c r="H416" s="429"/>
      <c r="I416" s="150">
        <v>1420</v>
      </c>
      <c r="J416" s="152"/>
      <c r="K416" s="331"/>
      <c r="L416" s="332"/>
      <c r="M416" s="101"/>
    </row>
    <row r="417" spans="1:13" customFormat="1" ht="15" customHeight="1" thickBot="1" x14ac:dyDescent="0.35">
      <c r="A417" s="390">
        <v>43377</v>
      </c>
      <c r="B417" s="376" t="s">
        <v>292</v>
      </c>
      <c r="C417" s="159" t="s">
        <v>139</v>
      </c>
      <c r="D417" s="44" t="s">
        <v>30</v>
      </c>
      <c r="E417" s="44" t="s">
        <v>287</v>
      </c>
      <c r="F417" s="77">
        <v>21</v>
      </c>
      <c r="G417" s="44">
        <v>36</v>
      </c>
      <c r="H417" s="428">
        <v>3530</v>
      </c>
      <c r="I417" s="150">
        <v>353</v>
      </c>
      <c r="J417" s="152"/>
      <c r="K417" s="331"/>
      <c r="L417" s="332"/>
      <c r="M417" s="101"/>
    </row>
    <row r="418" spans="1:13" customFormat="1" ht="16.5" customHeight="1" thickBot="1" x14ac:dyDescent="0.35">
      <c r="A418" s="390">
        <v>43377</v>
      </c>
      <c r="B418" s="376" t="s">
        <v>292</v>
      </c>
      <c r="C418" s="159" t="s">
        <v>139</v>
      </c>
      <c r="D418" s="44" t="s">
        <v>30</v>
      </c>
      <c r="E418" s="44" t="s">
        <v>287</v>
      </c>
      <c r="F418" s="77">
        <v>19</v>
      </c>
      <c r="G418" s="44">
        <v>324</v>
      </c>
      <c r="H418" s="429"/>
      <c r="I418" s="150">
        <v>3177</v>
      </c>
      <c r="J418" s="152"/>
      <c r="K418" s="331"/>
      <c r="L418" s="332"/>
      <c r="M418" s="101"/>
    </row>
    <row r="419" spans="1:13" customFormat="1" ht="15" customHeight="1" thickBot="1" x14ac:dyDescent="0.35">
      <c r="A419" s="390">
        <v>43377</v>
      </c>
      <c r="B419" s="377" t="s">
        <v>293</v>
      </c>
      <c r="C419" s="98" t="s">
        <v>139</v>
      </c>
      <c r="D419" s="99" t="s">
        <v>30</v>
      </c>
      <c r="E419" s="99" t="s">
        <v>287</v>
      </c>
      <c r="F419" s="75">
        <v>26</v>
      </c>
      <c r="G419" s="48">
        <v>108</v>
      </c>
      <c r="H419" s="421">
        <v>3630</v>
      </c>
      <c r="I419" s="102">
        <v>1089</v>
      </c>
      <c r="J419" s="101"/>
      <c r="K419" s="333"/>
      <c r="L419" s="334"/>
      <c r="M419" s="239"/>
    </row>
    <row r="420" spans="1:13" customFormat="1" ht="15.75" customHeight="1" thickBot="1" x14ac:dyDescent="0.35">
      <c r="A420" s="390">
        <v>43377</v>
      </c>
      <c r="B420" s="377" t="s">
        <v>293</v>
      </c>
      <c r="C420" s="98" t="s">
        <v>139</v>
      </c>
      <c r="D420" s="99" t="s">
        <v>30</v>
      </c>
      <c r="E420" s="99" t="s">
        <v>287</v>
      </c>
      <c r="F420" s="75">
        <v>21</v>
      </c>
      <c r="G420" s="48">
        <v>36</v>
      </c>
      <c r="H420" s="422"/>
      <c r="I420" s="102">
        <v>363</v>
      </c>
      <c r="J420" s="101"/>
      <c r="K420" s="333"/>
      <c r="L420" s="334"/>
      <c r="M420" s="239"/>
    </row>
    <row r="421" spans="1:13" customFormat="1" ht="16.5" customHeight="1" thickBot="1" x14ac:dyDescent="0.35">
      <c r="A421" s="390">
        <v>43377</v>
      </c>
      <c r="B421" s="377" t="s">
        <v>293</v>
      </c>
      <c r="C421" s="98" t="s">
        <v>139</v>
      </c>
      <c r="D421" s="99" t="s">
        <v>30</v>
      </c>
      <c r="E421" s="99" t="s">
        <v>287</v>
      </c>
      <c r="F421" s="75">
        <v>20</v>
      </c>
      <c r="G421" s="48">
        <v>216</v>
      </c>
      <c r="H421" s="423"/>
      <c r="I421" s="102">
        <v>2170</v>
      </c>
      <c r="J421" s="101"/>
      <c r="K421" s="333"/>
      <c r="L421" s="334"/>
      <c r="M421" s="239"/>
    </row>
    <row r="422" spans="1:13" customFormat="1" ht="15.75" customHeight="1" thickBot="1" x14ac:dyDescent="0.35">
      <c r="A422" s="390">
        <v>43377</v>
      </c>
      <c r="B422" s="377" t="s">
        <v>294</v>
      </c>
      <c r="C422" s="98" t="s">
        <v>139</v>
      </c>
      <c r="D422" s="99" t="s">
        <v>30</v>
      </c>
      <c r="E422" s="99" t="s">
        <v>287</v>
      </c>
      <c r="F422" s="75">
        <v>19</v>
      </c>
      <c r="G422" s="48">
        <v>180</v>
      </c>
      <c r="H422" s="421">
        <v>3580</v>
      </c>
      <c r="I422" s="102">
        <v>1790</v>
      </c>
      <c r="J422" s="101"/>
      <c r="K422" s="333"/>
      <c r="L422" s="334"/>
      <c r="M422" s="239"/>
    </row>
    <row r="423" spans="1:13" customFormat="1" ht="15.75" customHeight="1" thickBot="1" x14ac:dyDescent="0.35">
      <c r="A423" s="390">
        <v>43377</v>
      </c>
      <c r="B423" s="377" t="s">
        <v>294</v>
      </c>
      <c r="C423" s="98" t="s">
        <v>139</v>
      </c>
      <c r="D423" s="99" t="s">
        <v>30</v>
      </c>
      <c r="E423" s="99" t="s">
        <v>287</v>
      </c>
      <c r="F423" s="75">
        <v>20</v>
      </c>
      <c r="G423" s="48">
        <v>36</v>
      </c>
      <c r="H423" s="422"/>
      <c r="I423" s="102">
        <v>358</v>
      </c>
      <c r="J423" s="101"/>
      <c r="K423" s="333"/>
      <c r="L423" s="334"/>
      <c r="M423" s="239"/>
    </row>
    <row r="424" spans="1:13" customFormat="1" ht="16.5" customHeight="1" thickBot="1" x14ac:dyDescent="0.35">
      <c r="A424" s="390">
        <v>43377</v>
      </c>
      <c r="B424" s="377" t="s">
        <v>294</v>
      </c>
      <c r="C424" s="98" t="s">
        <v>139</v>
      </c>
      <c r="D424" s="99" t="s">
        <v>30</v>
      </c>
      <c r="E424" s="99" t="s">
        <v>287</v>
      </c>
      <c r="F424" s="75">
        <v>21</v>
      </c>
      <c r="G424" s="48">
        <v>144</v>
      </c>
      <c r="H424" s="423"/>
      <c r="I424" s="102">
        <v>1432</v>
      </c>
      <c r="J424" s="101"/>
      <c r="K424" s="333"/>
      <c r="L424" s="334"/>
      <c r="M424" s="239"/>
    </row>
    <row r="425" spans="1:13" customFormat="1" ht="15" customHeight="1" thickBot="1" x14ac:dyDescent="0.35">
      <c r="A425" s="390">
        <v>43377</v>
      </c>
      <c r="B425" s="202" t="s">
        <v>295</v>
      </c>
      <c r="C425" s="98" t="s">
        <v>139</v>
      </c>
      <c r="D425" s="99" t="s">
        <v>30</v>
      </c>
      <c r="E425" s="99" t="s">
        <v>287</v>
      </c>
      <c r="F425" s="75">
        <v>19</v>
      </c>
      <c r="G425" s="48">
        <v>360</v>
      </c>
      <c r="H425" s="103">
        <v>3640</v>
      </c>
      <c r="I425" s="102">
        <v>3640</v>
      </c>
      <c r="J425" s="101"/>
      <c r="K425" s="333"/>
      <c r="L425" s="334"/>
      <c r="M425" s="239"/>
    </row>
    <row r="426" spans="1:13" customFormat="1" ht="15" customHeight="1" thickBot="1" x14ac:dyDescent="0.35">
      <c r="A426" s="390">
        <v>43377</v>
      </c>
      <c r="B426" s="202" t="s">
        <v>296</v>
      </c>
      <c r="C426" s="98" t="s">
        <v>139</v>
      </c>
      <c r="D426" s="99" t="s">
        <v>30</v>
      </c>
      <c r="E426" s="99" t="s">
        <v>287</v>
      </c>
      <c r="F426" s="75">
        <v>19</v>
      </c>
      <c r="G426" s="48">
        <v>360</v>
      </c>
      <c r="H426" s="103">
        <v>3590</v>
      </c>
      <c r="I426" s="102">
        <v>3590</v>
      </c>
      <c r="J426" s="101"/>
      <c r="K426" s="333"/>
      <c r="L426" s="334"/>
      <c r="M426" s="239"/>
    </row>
    <row r="427" spans="1:13" s="226" customFormat="1" ht="15" customHeight="1" thickBot="1" x14ac:dyDescent="0.35">
      <c r="A427" s="390">
        <v>43377</v>
      </c>
      <c r="B427" s="203" t="s">
        <v>297</v>
      </c>
      <c r="C427" s="181" t="s">
        <v>139</v>
      </c>
      <c r="D427" s="178" t="s">
        <v>30</v>
      </c>
      <c r="E427" s="178" t="s">
        <v>287</v>
      </c>
      <c r="F427" s="182">
        <v>19</v>
      </c>
      <c r="G427" s="178">
        <v>360</v>
      </c>
      <c r="H427" s="183">
        <v>3099</v>
      </c>
      <c r="I427" s="184">
        <v>3520</v>
      </c>
      <c r="J427" s="185"/>
      <c r="K427" s="335"/>
      <c r="L427" s="336"/>
      <c r="M427" s="245" t="s">
        <v>439</v>
      </c>
    </row>
    <row r="428" spans="1:13" customFormat="1" ht="15.75" customHeight="1" thickBot="1" x14ac:dyDescent="0.35">
      <c r="A428" s="390">
        <v>43377</v>
      </c>
      <c r="B428" s="377" t="s">
        <v>298</v>
      </c>
      <c r="C428" s="98" t="s">
        <v>139</v>
      </c>
      <c r="D428" s="99" t="s">
        <v>30</v>
      </c>
      <c r="E428" s="99" t="s">
        <v>287</v>
      </c>
      <c r="F428" s="75">
        <v>19</v>
      </c>
      <c r="G428" s="48">
        <v>144</v>
      </c>
      <c r="H428" s="421">
        <v>3750</v>
      </c>
      <c r="I428" s="102">
        <v>1500</v>
      </c>
      <c r="J428" s="101"/>
      <c r="K428" s="333"/>
      <c r="L428" s="334"/>
      <c r="M428" s="239"/>
    </row>
    <row r="429" spans="1:13" customFormat="1" ht="15.75" customHeight="1" thickBot="1" x14ac:dyDescent="0.35">
      <c r="A429" s="390">
        <v>43377</v>
      </c>
      <c r="B429" s="377" t="s">
        <v>298</v>
      </c>
      <c r="C429" s="98" t="s">
        <v>139</v>
      </c>
      <c r="D429" s="99" t="s">
        <v>30</v>
      </c>
      <c r="E429" s="99" t="s">
        <v>287</v>
      </c>
      <c r="F429" s="75">
        <v>26</v>
      </c>
      <c r="G429" s="48">
        <v>144</v>
      </c>
      <c r="H429" s="422"/>
      <c r="I429" s="102">
        <v>1500</v>
      </c>
      <c r="J429" s="101"/>
      <c r="K429" s="333"/>
      <c r="L429" s="334"/>
      <c r="M429" s="239"/>
    </row>
    <row r="430" spans="1:13" customFormat="1" ht="16.5" customHeight="1" thickBot="1" x14ac:dyDescent="0.35">
      <c r="A430" s="390">
        <v>43377</v>
      </c>
      <c r="B430" s="377" t="s">
        <v>298</v>
      </c>
      <c r="C430" s="98" t="s">
        <v>139</v>
      </c>
      <c r="D430" s="99" t="s">
        <v>30</v>
      </c>
      <c r="E430" s="99" t="s">
        <v>287</v>
      </c>
      <c r="F430" s="75">
        <v>20</v>
      </c>
      <c r="G430" s="48">
        <v>72</v>
      </c>
      <c r="H430" s="423"/>
      <c r="I430" s="102">
        <v>750</v>
      </c>
      <c r="J430" s="101"/>
      <c r="K430" s="333"/>
      <c r="L430" s="334"/>
      <c r="M430" s="239"/>
    </row>
    <row r="431" spans="1:13" customFormat="1" ht="15" customHeight="1" thickBot="1" x14ac:dyDescent="0.35">
      <c r="A431" s="390">
        <v>43377</v>
      </c>
      <c r="B431" s="377" t="s">
        <v>299</v>
      </c>
      <c r="C431" s="98" t="s">
        <v>139</v>
      </c>
      <c r="D431" s="99" t="s">
        <v>30</v>
      </c>
      <c r="E431" s="99" t="s">
        <v>287</v>
      </c>
      <c r="F431" s="75">
        <v>20</v>
      </c>
      <c r="G431" s="48">
        <v>216</v>
      </c>
      <c r="H431" s="421">
        <v>3540</v>
      </c>
      <c r="I431" s="102">
        <v>2124</v>
      </c>
      <c r="J431" s="101"/>
      <c r="K431" s="333"/>
      <c r="L431" s="334"/>
      <c r="M431" s="239"/>
    </row>
    <row r="432" spans="1:13" customFormat="1" ht="15" customHeight="1" thickBot="1" x14ac:dyDescent="0.35">
      <c r="A432" s="390">
        <v>43377</v>
      </c>
      <c r="B432" s="377" t="s">
        <v>299</v>
      </c>
      <c r="C432" s="98" t="s">
        <v>139</v>
      </c>
      <c r="D432" s="99" t="s">
        <v>30</v>
      </c>
      <c r="E432" s="99" t="s">
        <v>287</v>
      </c>
      <c r="F432" s="75">
        <v>19</v>
      </c>
      <c r="G432" s="48">
        <v>144</v>
      </c>
      <c r="H432" s="423"/>
      <c r="I432" s="102">
        <v>1416</v>
      </c>
      <c r="J432" s="101"/>
      <c r="K432" s="333"/>
      <c r="L432" s="334"/>
      <c r="M432" s="239"/>
    </row>
    <row r="433" spans="1:13" customFormat="1" ht="15" customHeight="1" thickBot="1" x14ac:dyDescent="0.35">
      <c r="A433" s="390">
        <v>43377</v>
      </c>
      <c r="B433" s="377" t="s">
        <v>300</v>
      </c>
      <c r="C433" s="98" t="s">
        <v>139</v>
      </c>
      <c r="D433" s="99" t="s">
        <v>30</v>
      </c>
      <c r="E433" s="99" t="s">
        <v>287</v>
      </c>
      <c r="F433" s="75">
        <v>20</v>
      </c>
      <c r="G433" s="48">
        <v>144</v>
      </c>
      <c r="H433" s="421">
        <v>3630</v>
      </c>
      <c r="I433" s="102">
        <v>1452</v>
      </c>
      <c r="J433" s="101"/>
      <c r="K433" s="333"/>
      <c r="L433" s="334"/>
      <c r="M433" s="239"/>
    </row>
    <row r="434" spans="1:13" customFormat="1" ht="15" customHeight="1" thickBot="1" x14ac:dyDescent="0.35">
      <c r="A434" s="390">
        <v>43377</v>
      </c>
      <c r="B434" s="377" t="s">
        <v>300</v>
      </c>
      <c r="C434" s="98" t="s">
        <v>139</v>
      </c>
      <c r="D434" s="99" t="s">
        <v>30</v>
      </c>
      <c r="E434" s="99" t="s">
        <v>287</v>
      </c>
      <c r="F434" s="75">
        <v>19</v>
      </c>
      <c r="G434" s="48">
        <v>108</v>
      </c>
      <c r="H434" s="422"/>
      <c r="I434" s="102">
        <v>1089</v>
      </c>
      <c r="J434" s="101"/>
      <c r="K434" s="333"/>
      <c r="L434" s="334"/>
      <c r="M434" s="239"/>
    </row>
    <row r="435" spans="1:13" customFormat="1" ht="16.5" customHeight="1" thickBot="1" x14ac:dyDescent="0.35">
      <c r="A435" s="390">
        <v>43377</v>
      </c>
      <c r="B435" s="377" t="s">
        <v>300</v>
      </c>
      <c r="C435" s="98" t="s">
        <v>139</v>
      </c>
      <c r="D435" s="99" t="s">
        <v>30</v>
      </c>
      <c r="E435" s="99" t="s">
        <v>287</v>
      </c>
      <c r="F435" s="75">
        <v>21</v>
      </c>
      <c r="G435" s="48">
        <v>108</v>
      </c>
      <c r="H435" s="423"/>
      <c r="I435" s="102">
        <v>1089</v>
      </c>
      <c r="J435" s="101"/>
      <c r="K435" s="333"/>
      <c r="L435" s="334"/>
      <c r="M435" s="239"/>
    </row>
    <row r="436" spans="1:13" customFormat="1" ht="15.75" customHeight="1" thickBot="1" x14ac:dyDescent="0.35">
      <c r="A436" s="390">
        <v>43377</v>
      </c>
      <c r="B436" s="377" t="s">
        <v>301</v>
      </c>
      <c r="C436" s="98" t="s">
        <v>139</v>
      </c>
      <c r="D436" s="99" t="s">
        <v>30</v>
      </c>
      <c r="E436" s="99" t="s">
        <v>287</v>
      </c>
      <c r="F436" s="75">
        <v>20</v>
      </c>
      <c r="G436" s="48">
        <v>36</v>
      </c>
      <c r="H436" s="421">
        <v>3600</v>
      </c>
      <c r="I436" s="102">
        <v>360</v>
      </c>
      <c r="J436" s="101"/>
      <c r="K436" s="333"/>
      <c r="L436" s="334"/>
      <c r="M436" s="239"/>
    </row>
    <row r="437" spans="1:13" customFormat="1" ht="15.75" customHeight="1" thickBot="1" x14ac:dyDescent="0.35">
      <c r="A437" s="390">
        <v>43377</v>
      </c>
      <c r="B437" s="377" t="s">
        <v>301</v>
      </c>
      <c r="C437" s="98" t="s">
        <v>139</v>
      </c>
      <c r="D437" s="99" t="s">
        <v>30</v>
      </c>
      <c r="E437" s="99" t="s">
        <v>287</v>
      </c>
      <c r="F437" s="75">
        <v>19</v>
      </c>
      <c r="G437" s="48">
        <v>288</v>
      </c>
      <c r="H437" s="422"/>
      <c r="I437" s="102">
        <v>2880</v>
      </c>
      <c r="J437" s="101"/>
      <c r="K437" s="333"/>
      <c r="L437" s="334"/>
      <c r="M437" s="239"/>
    </row>
    <row r="438" spans="1:13" customFormat="1" ht="16.5" customHeight="1" thickBot="1" x14ac:dyDescent="0.35">
      <c r="A438" s="390">
        <v>43377</v>
      </c>
      <c r="B438" s="377" t="s">
        <v>301</v>
      </c>
      <c r="C438" s="98" t="s">
        <v>139</v>
      </c>
      <c r="D438" s="99" t="s">
        <v>30</v>
      </c>
      <c r="E438" s="99" t="s">
        <v>287</v>
      </c>
      <c r="F438" s="75">
        <v>21</v>
      </c>
      <c r="G438" s="48">
        <v>36</v>
      </c>
      <c r="H438" s="423"/>
      <c r="I438" s="102">
        <v>360</v>
      </c>
      <c r="J438" s="101"/>
      <c r="K438" s="333"/>
      <c r="L438" s="334"/>
      <c r="M438" s="239"/>
    </row>
    <row r="439" spans="1:13" customFormat="1" ht="15" customHeight="1" thickBot="1" x14ac:dyDescent="0.35">
      <c r="A439" s="390">
        <v>43377</v>
      </c>
      <c r="B439" s="377" t="s">
        <v>302</v>
      </c>
      <c r="C439" s="98" t="s">
        <v>139</v>
      </c>
      <c r="D439" s="99" t="s">
        <v>30</v>
      </c>
      <c r="E439" s="99" t="s">
        <v>287</v>
      </c>
      <c r="F439" s="75">
        <v>26</v>
      </c>
      <c r="G439" s="48">
        <v>108</v>
      </c>
      <c r="H439" s="421">
        <v>3540</v>
      </c>
      <c r="I439" s="102">
        <v>1062</v>
      </c>
      <c r="J439" s="101"/>
      <c r="K439" s="333"/>
      <c r="L439" s="334"/>
      <c r="M439" s="239"/>
    </row>
    <row r="440" spans="1:13" customFormat="1" ht="15" customHeight="1" thickBot="1" x14ac:dyDescent="0.35">
      <c r="A440" s="390">
        <v>43377</v>
      </c>
      <c r="B440" s="377" t="s">
        <v>302</v>
      </c>
      <c r="C440" s="98" t="s">
        <v>139</v>
      </c>
      <c r="D440" s="99" t="s">
        <v>30</v>
      </c>
      <c r="E440" s="99" t="s">
        <v>287</v>
      </c>
      <c r="F440" s="75">
        <v>19</v>
      </c>
      <c r="G440" s="48">
        <v>252</v>
      </c>
      <c r="H440" s="423"/>
      <c r="I440" s="102">
        <v>2478</v>
      </c>
      <c r="J440" s="101"/>
      <c r="K440" s="333"/>
      <c r="L440" s="334"/>
      <c r="M440" s="239"/>
    </row>
    <row r="441" spans="1:13" customFormat="1" ht="15" customHeight="1" thickBot="1" x14ac:dyDescent="0.35">
      <c r="A441" s="390">
        <v>43377</v>
      </c>
      <c r="B441" s="377" t="s">
        <v>303</v>
      </c>
      <c r="C441" s="98" t="s">
        <v>139</v>
      </c>
      <c r="D441" s="99" t="s">
        <v>30</v>
      </c>
      <c r="E441" s="99" t="s">
        <v>287</v>
      </c>
      <c r="F441" s="75">
        <v>19</v>
      </c>
      <c r="G441" s="48">
        <v>108</v>
      </c>
      <c r="H441" s="421">
        <v>3760</v>
      </c>
      <c r="I441" s="102">
        <v>1128</v>
      </c>
      <c r="J441" s="101"/>
      <c r="K441" s="333"/>
      <c r="L441" s="334"/>
      <c r="M441" s="239"/>
    </row>
    <row r="442" spans="1:13" customFormat="1" ht="15" customHeight="1" thickBot="1" x14ac:dyDescent="0.35">
      <c r="A442" s="390">
        <v>43377</v>
      </c>
      <c r="B442" s="377" t="s">
        <v>303</v>
      </c>
      <c r="C442" s="98" t="s">
        <v>139</v>
      </c>
      <c r="D442" s="99" t="s">
        <v>30</v>
      </c>
      <c r="E442" s="99" t="s">
        <v>287</v>
      </c>
      <c r="F442" s="75">
        <v>21</v>
      </c>
      <c r="G442" s="48">
        <v>144</v>
      </c>
      <c r="H442" s="422"/>
      <c r="I442" s="102">
        <v>1504</v>
      </c>
      <c r="J442" s="101"/>
      <c r="K442" s="333"/>
      <c r="L442" s="334"/>
      <c r="M442" s="239"/>
    </row>
    <row r="443" spans="1:13" customFormat="1" ht="16.5" customHeight="1" thickBot="1" x14ac:dyDescent="0.35">
      <c r="A443" s="390">
        <v>43377</v>
      </c>
      <c r="B443" s="377" t="s">
        <v>303</v>
      </c>
      <c r="C443" s="98" t="s">
        <v>139</v>
      </c>
      <c r="D443" s="99" t="s">
        <v>30</v>
      </c>
      <c r="E443" s="99" t="s">
        <v>287</v>
      </c>
      <c r="F443" s="75">
        <v>20</v>
      </c>
      <c r="G443" s="48">
        <v>108</v>
      </c>
      <c r="H443" s="423"/>
      <c r="I443" s="102">
        <v>1128</v>
      </c>
      <c r="J443" s="101"/>
      <c r="K443" s="333"/>
      <c r="L443" s="334"/>
      <c r="M443" s="239"/>
    </row>
    <row r="444" spans="1:13" customFormat="1" ht="15" customHeight="1" thickBot="1" x14ac:dyDescent="0.35">
      <c r="A444" s="390">
        <v>43377</v>
      </c>
      <c r="B444" s="202" t="s">
        <v>304</v>
      </c>
      <c r="C444" s="98" t="s">
        <v>139</v>
      </c>
      <c r="D444" s="99" t="s">
        <v>30</v>
      </c>
      <c r="E444" s="99" t="s">
        <v>287</v>
      </c>
      <c r="F444" s="75">
        <v>19</v>
      </c>
      <c r="G444" s="48">
        <v>360</v>
      </c>
      <c r="H444" s="103">
        <v>3750</v>
      </c>
      <c r="I444" s="102">
        <v>3750</v>
      </c>
      <c r="J444" s="101"/>
      <c r="K444" s="333"/>
      <c r="L444" s="334"/>
      <c r="M444" s="239"/>
    </row>
    <row r="445" spans="1:13" customFormat="1" ht="15" customHeight="1" thickBot="1" x14ac:dyDescent="0.3">
      <c r="A445" s="390">
        <v>43377</v>
      </c>
      <c r="B445" s="345" t="s">
        <v>305</v>
      </c>
      <c r="C445" s="154" t="s">
        <v>139</v>
      </c>
      <c r="D445" s="155" t="s">
        <v>30</v>
      </c>
      <c r="E445" s="155" t="s">
        <v>287</v>
      </c>
      <c r="F445" s="156">
        <v>20</v>
      </c>
      <c r="G445" s="155">
        <v>108</v>
      </c>
      <c r="H445" s="445">
        <v>3720</v>
      </c>
      <c r="I445" s="158">
        <v>1116</v>
      </c>
      <c r="J445" s="157"/>
      <c r="K445" s="268" t="s">
        <v>369</v>
      </c>
      <c r="L445" s="269" t="s">
        <v>284</v>
      </c>
      <c r="M445" s="239"/>
    </row>
    <row r="446" spans="1:13" customFormat="1" ht="15" customHeight="1" thickBot="1" x14ac:dyDescent="0.3">
      <c r="A446" s="390">
        <v>43377</v>
      </c>
      <c r="B446" s="345" t="s">
        <v>305</v>
      </c>
      <c r="C446" s="154" t="s">
        <v>139</v>
      </c>
      <c r="D446" s="155" t="s">
        <v>30</v>
      </c>
      <c r="E446" s="155" t="s">
        <v>287</v>
      </c>
      <c r="F446" s="156">
        <v>19</v>
      </c>
      <c r="G446" s="155">
        <v>180</v>
      </c>
      <c r="H446" s="446"/>
      <c r="I446" s="158">
        <v>1860</v>
      </c>
      <c r="J446" s="157"/>
      <c r="K446" s="268" t="s">
        <v>369</v>
      </c>
      <c r="L446" s="269" t="s">
        <v>284</v>
      </c>
      <c r="M446" s="239"/>
    </row>
    <row r="447" spans="1:13" customFormat="1" ht="15" customHeight="1" thickBot="1" x14ac:dyDescent="0.3">
      <c r="A447" s="390">
        <v>43377</v>
      </c>
      <c r="B447" s="345" t="s">
        <v>305</v>
      </c>
      <c r="C447" s="154" t="s">
        <v>139</v>
      </c>
      <c r="D447" s="155" t="s">
        <v>30</v>
      </c>
      <c r="E447" s="155" t="s">
        <v>287</v>
      </c>
      <c r="F447" s="156">
        <v>21</v>
      </c>
      <c r="G447" s="155">
        <v>72</v>
      </c>
      <c r="H447" s="447"/>
      <c r="I447" s="158">
        <v>744</v>
      </c>
      <c r="J447" s="157"/>
      <c r="K447" s="268" t="s">
        <v>369</v>
      </c>
      <c r="L447" s="269" t="s">
        <v>284</v>
      </c>
      <c r="M447" s="239"/>
    </row>
    <row r="448" spans="1:13" customFormat="1" ht="15.75" customHeight="1" thickBot="1" x14ac:dyDescent="0.3">
      <c r="A448" s="390">
        <v>43377</v>
      </c>
      <c r="B448" s="345" t="s">
        <v>306</v>
      </c>
      <c r="C448" s="154" t="s">
        <v>139</v>
      </c>
      <c r="D448" s="155" t="s">
        <v>30</v>
      </c>
      <c r="E448" s="155" t="s">
        <v>287</v>
      </c>
      <c r="F448" s="156">
        <v>19</v>
      </c>
      <c r="G448" s="155">
        <v>252</v>
      </c>
      <c r="H448" s="445">
        <v>3720</v>
      </c>
      <c r="I448" s="158">
        <v>2604</v>
      </c>
      <c r="J448" s="157"/>
      <c r="K448" s="268" t="s">
        <v>369</v>
      </c>
      <c r="L448" s="269" t="s">
        <v>284</v>
      </c>
      <c r="M448" s="239"/>
    </row>
    <row r="449" spans="1:863" ht="15.75" customHeight="1" thickBot="1" x14ac:dyDescent="0.3">
      <c r="A449" s="390">
        <v>43377</v>
      </c>
      <c r="B449" s="345" t="s">
        <v>306</v>
      </c>
      <c r="C449" s="154" t="s">
        <v>139</v>
      </c>
      <c r="D449" s="155" t="s">
        <v>30</v>
      </c>
      <c r="E449" s="155" t="s">
        <v>287</v>
      </c>
      <c r="F449" s="156">
        <v>20</v>
      </c>
      <c r="G449" s="155">
        <v>72</v>
      </c>
      <c r="H449" s="446"/>
      <c r="I449" s="158">
        <v>744</v>
      </c>
      <c r="J449" s="157"/>
      <c r="K449" s="268" t="s">
        <v>369</v>
      </c>
      <c r="L449" s="269" t="s">
        <v>284</v>
      </c>
      <c r="M449" s="23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</row>
    <row r="450" spans="1:863" ht="16.5" customHeight="1" thickBot="1" x14ac:dyDescent="0.3">
      <c r="A450" s="390">
        <v>43377</v>
      </c>
      <c r="B450" s="345" t="s">
        <v>306</v>
      </c>
      <c r="C450" s="154" t="s">
        <v>139</v>
      </c>
      <c r="D450" s="155" t="s">
        <v>30</v>
      </c>
      <c r="E450" s="155" t="s">
        <v>287</v>
      </c>
      <c r="F450" s="156">
        <v>21</v>
      </c>
      <c r="G450" s="155">
        <v>36</v>
      </c>
      <c r="H450" s="447"/>
      <c r="I450" s="158">
        <v>372</v>
      </c>
      <c r="J450" s="157"/>
      <c r="K450" s="268" t="s">
        <v>369</v>
      </c>
      <c r="L450" s="269" t="s">
        <v>284</v>
      </c>
      <c r="M450" s="239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</row>
    <row r="451" spans="1:863" ht="15" customHeight="1" thickBot="1" x14ac:dyDescent="0.3">
      <c r="A451" s="390">
        <v>43377</v>
      </c>
      <c r="B451" s="378" t="s">
        <v>307</v>
      </c>
      <c r="C451" s="148" t="s">
        <v>139</v>
      </c>
      <c r="D451" s="145" t="s">
        <v>30</v>
      </c>
      <c r="E451" s="145" t="s">
        <v>287</v>
      </c>
      <c r="F451" s="149">
        <v>21</v>
      </c>
      <c r="G451" s="145">
        <v>36</v>
      </c>
      <c r="H451" s="426">
        <v>3560</v>
      </c>
      <c r="I451" s="146">
        <v>356</v>
      </c>
      <c r="J451" s="147"/>
      <c r="K451" s="266" t="s">
        <v>368</v>
      </c>
      <c r="L451" s="267" t="s">
        <v>284</v>
      </c>
      <c r="M451" s="239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</row>
    <row r="452" spans="1:863" ht="15" customHeight="1" thickBot="1" x14ac:dyDescent="0.3">
      <c r="A452" s="390">
        <v>43377</v>
      </c>
      <c r="B452" s="378" t="s">
        <v>307</v>
      </c>
      <c r="C452" s="148" t="s">
        <v>139</v>
      </c>
      <c r="D452" s="145" t="s">
        <v>30</v>
      </c>
      <c r="E452" s="145" t="s">
        <v>287</v>
      </c>
      <c r="F452" s="149">
        <v>20</v>
      </c>
      <c r="G452" s="145">
        <v>144</v>
      </c>
      <c r="H452" s="448"/>
      <c r="I452" s="146">
        <v>1424</v>
      </c>
      <c r="J452" s="147"/>
      <c r="K452" s="266" t="s">
        <v>368</v>
      </c>
      <c r="L452" s="267" t="s">
        <v>284</v>
      </c>
      <c r="M452" s="239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</row>
    <row r="453" spans="1:863" ht="15" customHeight="1" thickBot="1" x14ac:dyDescent="0.3">
      <c r="A453" s="390">
        <v>43377</v>
      </c>
      <c r="B453" s="378" t="s">
        <v>307</v>
      </c>
      <c r="C453" s="148" t="s">
        <v>139</v>
      </c>
      <c r="D453" s="145" t="s">
        <v>30</v>
      </c>
      <c r="E453" s="145" t="s">
        <v>287</v>
      </c>
      <c r="F453" s="149">
        <v>19</v>
      </c>
      <c r="G453" s="145">
        <v>72</v>
      </c>
      <c r="H453" s="448"/>
      <c r="I453" s="146">
        <v>712</v>
      </c>
      <c r="J453" s="147"/>
      <c r="K453" s="266" t="s">
        <v>368</v>
      </c>
      <c r="L453" s="267" t="s">
        <v>284</v>
      </c>
      <c r="M453" s="239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</row>
    <row r="454" spans="1:863" ht="16.5" customHeight="1" thickBot="1" x14ac:dyDescent="0.3">
      <c r="A454" s="390">
        <v>43377</v>
      </c>
      <c r="B454" s="378" t="s">
        <v>307</v>
      </c>
      <c r="C454" s="148" t="s">
        <v>139</v>
      </c>
      <c r="D454" s="145" t="s">
        <v>30</v>
      </c>
      <c r="E454" s="145" t="s">
        <v>287</v>
      </c>
      <c r="F454" s="149">
        <v>26</v>
      </c>
      <c r="G454" s="145">
        <v>108</v>
      </c>
      <c r="H454" s="427"/>
      <c r="I454" s="146">
        <v>1068</v>
      </c>
      <c r="J454" s="147"/>
      <c r="K454" s="266" t="s">
        <v>368</v>
      </c>
      <c r="L454" s="267" t="s">
        <v>284</v>
      </c>
      <c r="M454" s="239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</row>
    <row r="455" spans="1:863" ht="15" customHeight="1" thickBot="1" x14ac:dyDescent="0.3">
      <c r="A455" s="390">
        <v>43377</v>
      </c>
      <c r="B455" s="204" t="s">
        <v>308</v>
      </c>
      <c r="C455" s="148" t="s">
        <v>139</v>
      </c>
      <c r="D455" s="145" t="s">
        <v>30</v>
      </c>
      <c r="E455" s="145" t="s">
        <v>287</v>
      </c>
      <c r="F455" s="149">
        <v>19</v>
      </c>
      <c r="G455" s="145">
        <v>72</v>
      </c>
      <c r="H455" s="143">
        <v>750</v>
      </c>
      <c r="I455" s="146">
        <v>750</v>
      </c>
      <c r="J455" s="147"/>
      <c r="K455" s="266" t="s">
        <v>368</v>
      </c>
      <c r="L455" s="267" t="s">
        <v>284</v>
      </c>
      <c r="M455" s="239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</row>
    <row r="456" spans="1:863" ht="15.75" customHeight="1" x14ac:dyDescent="0.25">
      <c r="A456" s="390">
        <v>43377</v>
      </c>
      <c r="B456" s="379" t="s">
        <v>309</v>
      </c>
      <c r="C456" s="99" t="s">
        <v>31</v>
      </c>
      <c r="D456" s="99" t="s">
        <v>30</v>
      </c>
      <c r="E456" s="99" t="s">
        <v>81</v>
      </c>
      <c r="F456" s="99">
        <v>79</v>
      </c>
      <c r="G456" s="99">
        <v>144</v>
      </c>
      <c r="H456" s="437">
        <v>2870</v>
      </c>
      <c r="I456" s="99">
        <v>1435</v>
      </c>
      <c r="J456" s="100"/>
      <c r="K456" s="337"/>
      <c r="L456" s="338"/>
      <c r="M456" s="239"/>
    </row>
    <row r="457" spans="1:863" ht="15.75" customHeight="1" x14ac:dyDescent="0.25">
      <c r="A457" s="390">
        <v>43377</v>
      </c>
      <c r="B457" s="379" t="s">
        <v>309</v>
      </c>
      <c r="C457" s="99" t="s">
        <v>31</v>
      </c>
      <c r="D457" s="99" t="s">
        <v>30</v>
      </c>
      <c r="E457" s="99" t="s">
        <v>81</v>
      </c>
      <c r="F457" s="99">
        <v>82</v>
      </c>
      <c r="G457" s="99">
        <v>144</v>
      </c>
      <c r="H457" s="438"/>
      <c r="I457" s="99">
        <v>1435</v>
      </c>
      <c r="J457" s="100"/>
      <c r="K457" s="337"/>
      <c r="L457" s="338"/>
      <c r="M457" s="239"/>
    </row>
    <row r="458" spans="1:863" ht="15.75" customHeight="1" x14ac:dyDescent="0.25">
      <c r="A458" s="390">
        <v>43377</v>
      </c>
      <c r="B458" s="108" t="s">
        <v>310</v>
      </c>
      <c r="C458" s="99" t="s">
        <v>31</v>
      </c>
      <c r="D458" s="99" t="s">
        <v>30</v>
      </c>
      <c r="E458" s="99" t="s">
        <v>81</v>
      </c>
      <c r="F458" s="99">
        <v>82</v>
      </c>
      <c r="G458" s="99">
        <v>288</v>
      </c>
      <c r="H458" s="105">
        <v>2770</v>
      </c>
      <c r="I458" s="99">
        <v>2770</v>
      </c>
      <c r="J458" s="100"/>
      <c r="K458" s="337"/>
      <c r="L458" s="338"/>
      <c r="M458" s="239"/>
    </row>
    <row r="459" spans="1:863" ht="15.75" customHeight="1" x14ac:dyDescent="0.25">
      <c r="A459" s="390">
        <v>43377</v>
      </c>
      <c r="B459" s="379" t="s">
        <v>311</v>
      </c>
      <c r="C459" s="99" t="s">
        <v>31</v>
      </c>
      <c r="D459" s="99" t="s">
        <v>30</v>
      </c>
      <c r="E459" s="99" t="s">
        <v>81</v>
      </c>
      <c r="F459" s="99">
        <v>82</v>
      </c>
      <c r="G459" s="99">
        <v>72</v>
      </c>
      <c r="H459" s="437">
        <v>2590</v>
      </c>
      <c r="I459" s="99">
        <v>647.5</v>
      </c>
      <c r="J459" s="100"/>
      <c r="K459" s="337"/>
      <c r="L459" s="338"/>
      <c r="M459" s="239"/>
    </row>
    <row r="460" spans="1:863" ht="15.75" customHeight="1" x14ac:dyDescent="0.25">
      <c r="A460" s="390">
        <v>43377</v>
      </c>
      <c r="B460" s="379" t="s">
        <v>311</v>
      </c>
      <c r="C460" s="99" t="s">
        <v>31</v>
      </c>
      <c r="D460" s="99" t="s">
        <v>30</v>
      </c>
      <c r="E460" s="99" t="s">
        <v>81</v>
      </c>
      <c r="F460" s="99">
        <v>85</v>
      </c>
      <c r="G460" s="99">
        <v>216</v>
      </c>
      <c r="H460" s="438"/>
      <c r="I460" s="99">
        <v>1942.5</v>
      </c>
      <c r="J460" s="100"/>
      <c r="K460" s="337"/>
      <c r="L460" s="338"/>
      <c r="M460" s="239"/>
    </row>
    <row r="461" spans="1:863" ht="15.75" customHeight="1" x14ac:dyDescent="0.25">
      <c r="A461" s="390">
        <v>43377</v>
      </c>
      <c r="B461" s="379" t="s">
        <v>312</v>
      </c>
      <c r="C461" s="99" t="s">
        <v>31</v>
      </c>
      <c r="D461" s="99" t="s">
        <v>30</v>
      </c>
      <c r="E461" s="99" t="s">
        <v>81</v>
      </c>
      <c r="F461" s="99">
        <v>76</v>
      </c>
      <c r="G461" s="99">
        <v>144</v>
      </c>
      <c r="H461" s="437">
        <v>3030</v>
      </c>
      <c r="I461" s="99">
        <v>1515</v>
      </c>
      <c r="J461" s="100"/>
      <c r="K461" s="337"/>
      <c r="L461" s="338"/>
      <c r="M461" s="239"/>
    </row>
    <row r="462" spans="1:863" ht="15.75" customHeight="1" x14ac:dyDescent="0.25">
      <c r="A462" s="390">
        <v>43377</v>
      </c>
      <c r="B462" s="379" t="s">
        <v>312</v>
      </c>
      <c r="C462" s="99" t="s">
        <v>31</v>
      </c>
      <c r="D462" s="99" t="s">
        <v>30</v>
      </c>
      <c r="E462" s="99" t="s">
        <v>81</v>
      </c>
      <c r="F462" s="99">
        <v>82</v>
      </c>
      <c r="G462" s="99">
        <v>144</v>
      </c>
      <c r="H462" s="438"/>
      <c r="I462" s="99">
        <v>1515</v>
      </c>
      <c r="J462" s="100"/>
      <c r="K462" s="337"/>
      <c r="L462" s="338"/>
      <c r="M462" s="239"/>
    </row>
    <row r="463" spans="1:863" ht="15.75" customHeight="1" x14ac:dyDescent="0.25">
      <c r="A463" s="390">
        <v>43377</v>
      </c>
      <c r="B463" s="208" t="s">
        <v>313</v>
      </c>
      <c r="C463" s="44" t="s">
        <v>31</v>
      </c>
      <c r="D463" s="44" t="s">
        <v>30</v>
      </c>
      <c r="E463" s="44" t="s">
        <v>81</v>
      </c>
      <c r="F463" s="44">
        <v>82</v>
      </c>
      <c r="G463" s="44">
        <v>180</v>
      </c>
      <c r="H463" s="439">
        <v>3490</v>
      </c>
      <c r="I463" s="44">
        <v>1745</v>
      </c>
      <c r="J463" s="46"/>
      <c r="K463" s="199"/>
      <c r="L463" s="330"/>
    </row>
    <row r="464" spans="1:863" ht="15.75" customHeight="1" x14ac:dyDescent="0.25">
      <c r="A464" s="390">
        <v>43377</v>
      </c>
      <c r="B464" s="208" t="s">
        <v>313</v>
      </c>
      <c r="C464" s="44" t="s">
        <v>31</v>
      </c>
      <c r="D464" s="44" t="s">
        <v>30</v>
      </c>
      <c r="E464" s="44" t="s">
        <v>81</v>
      </c>
      <c r="F464" s="44">
        <v>85</v>
      </c>
      <c r="G464" s="44">
        <v>180</v>
      </c>
      <c r="H464" s="440"/>
      <c r="I464" s="44">
        <v>1745</v>
      </c>
      <c r="J464" s="46"/>
      <c r="K464" s="199"/>
      <c r="L464" s="330"/>
    </row>
    <row r="465" spans="1:14" ht="16.5" customHeight="1" x14ac:dyDescent="0.25">
      <c r="A465" s="390">
        <v>43377</v>
      </c>
      <c r="B465" s="193" t="s">
        <v>314</v>
      </c>
      <c r="C465" s="44" t="s">
        <v>31</v>
      </c>
      <c r="D465" s="44" t="s">
        <v>30</v>
      </c>
      <c r="E465" s="44" t="s">
        <v>81</v>
      </c>
      <c r="F465" s="44">
        <v>82</v>
      </c>
      <c r="G465" s="44">
        <v>360</v>
      </c>
      <c r="H465" s="45">
        <v>3400</v>
      </c>
      <c r="I465" s="44">
        <v>3400</v>
      </c>
      <c r="J465" s="46"/>
      <c r="K465" s="199"/>
      <c r="L465" s="330"/>
    </row>
    <row r="466" spans="1:14" ht="15.75" customHeight="1" x14ac:dyDescent="0.25">
      <c r="A466" s="390">
        <v>43377</v>
      </c>
      <c r="B466" s="205" t="s">
        <v>315</v>
      </c>
      <c r="C466" s="119" t="s">
        <v>31</v>
      </c>
      <c r="D466" s="119" t="s">
        <v>30</v>
      </c>
      <c r="E466" s="119" t="s">
        <v>81</v>
      </c>
      <c r="F466" s="119">
        <v>82</v>
      </c>
      <c r="G466" s="119">
        <v>288</v>
      </c>
      <c r="H466" s="118">
        <v>2620</v>
      </c>
      <c r="I466" s="119">
        <v>2620</v>
      </c>
      <c r="J466" s="120"/>
      <c r="K466" s="283" t="s">
        <v>364</v>
      </c>
      <c r="L466" s="277" t="s">
        <v>213</v>
      </c>
      <c r="M466" s="239"/>
    </row>
    <row r="467" spans="1:14" ht="15.75" customHeight="1" x14ac:dyDescent="0.25">
      <c r="A467" s="390">
        <v>43377</v>
      </c>
      <c r="B467" s="380" t="s">
        <v>316</v>
      </c>
      <c r="C467" s="119" t="s">
        <v>31</v>
      </c>
      <c r="D467" s="119" t="s">
        <v>30</v>
      </c>
      <c r="E467" s="119" t="s">
        <v>81</v>
      </c>
      <c r="F467" s="119">
        <v>76</v>
      </c>
      <c r="G467" s="119">
        <v>72</v>
      </c>
      <c r="H467" s="441">
        <v>2740</v>
      </c>
      <c r="I467" s="119">
        <v>685</v>
      </c>
      <c r="J467" s="120"/>
      <c r="K467" s="283" t="s">
        <v>364</v>
      </c>
      <c r="L467" s="277" t="s">
        <v>213</v>
      </c>
      <c r="M467" s="239"/>
    </row>
    <row r="468" spans="1:14" ht="15.75" customHeight="1" x14ac:dyDescent="0.25">
      <c r="A468" s="390">
        <v>43377</v>
      </c>
      <c r="B468" s="380" t="s">
        <v>316</v>
      </c>
      <c r="C468" s="119" t="s">
        <v>31</v>
      </c>
      <c r="D468" s="119" t="s">
        <v>30</v>
      </c>
      <c r="E468" s="119" t="s">
        <v>81</v>
      </c>
      <c r="F468" s="119">
        <v>79</v>
      </c>
      <c r="G468" s="119">
        <v>144</v>
      </c>
      <c r="H468" s="442"/>
      <c r="I468" s="119">
        <v>1370</v>
      </c>
      <c r="J468" s="120"/>
      <c r="K468" s="283" t="s">
        <v>364</v>
      </c>
      <c r="L468" s="277" t="s">
        <v>213</v>
      </c>
      <c r="M468" s="239"/>
      <c r="N468" s="122"/>
    </row>
    <row r="469" spans="1:14" ht="15.75" customHeight="1" x14ac:dyDescent="0.25">
      <c r="A469" s="390">
        <v>43377</v>
      </c>
      <c r="B469" s="380" t="s">
        <v>316</v>
      </c>
      <c r="C469" s="119" t="s">
        <v>31</v>
      </c>
      <c r="D469" s="119" t="s">
        <v>30</v>
      </c>
      <c r="E469" s="119" t="s">
        <v>81</v>
      </c>
      <c r="F469" s="119">
        <v>82</v>
      </c>
      <c r="G469" s="119">
        <v>72</v>
      </c>
      <c r="H469" s="443"/>
      <c r="I469" s="119">
        <v>685</v>
      </c>
      <c r="J469" s="120"/>
      <c r="K469" s="283" t="s">
        <v>364</v>
      </c>
      <c r="L469" s="277" t="s">
        <v>213</v>
      </c>
      <c r="M469" s="239"/>
      <c r="N469" s="122"/>
    </row>
    <row r="470" spans="1:14" ht="15.75" customHeight="1" x14ac:dyDescent="0.25">
      <c r="A470" s="390">
        <v>43377</v>
      </c>
      <c r="B470" s="205" t="s">
        <v>317</v>
      </c>
      <c r="C470" s="119" t="s">
        <v>31</v>
      </c>
      <c r="D470" s="119" t="s">
        <v>30</v>
      </c>
      <c r="E470" s="119" t="s">
        <v>81</v>
      </c>
      <c r="F470" s="119">
        <v>85</v>
      </c>
      <c r="G470" s="119">
        <v>288</v>
      </c>
      <c r="H470" s="118">
        <v>2730</v>
      </c>
      <c r="I470" s="119">
        <v>2730</v>
      </c>
      <c r="J470" s="120"/>
      <c r="K470" s="283" t="s">
        <v>364</v>
      </c>
      <c r="L470" s="277" t="s">
        <v>213</v>
      </c>
      <c r="M470" s="239"/>
    </row>
    <row r="471" spans="1:14" ht="15.75" customHeight="1" x14ac:dyDescent="0.25">
      <c r="A471" s="390">
        <v>43377</v>
      </c>
      <c r="B471" s="380" t="s">
        <v>318</v>
      </c>
      <c r="C471" s="119" t="s">
        <v>31</v>
      </c>
      <c r="D471" s="119" t="s">
        <v>30</v>
      </c>
      <c r="E471" s="119" t="s">
        <v>81</v>
      </c>
      <c r="F471" s="119">
        <v>76</v>
      </c>
      <c r="G471" s="119">
        <v>144</v>
      </c>
      <c r="H471" s="441">
        <v>2650</v>
      </c>
      <c r="I471" s="119">
        <v>1325</v>
      </c>
      <c r="J471" s="120"/>
      <c r="K471" s="283" t="s">
        <v>364</v>
      </c>
      <c r="L471" s="277" t="s">
        <v>213</v>
      </c>
      <c r="M471" s="239"/>
    </row>
    <row r="472" spans="1:14" ht="16.5" customHeight="1" x14ac:dyDescent="0.25">
      <c r="A472" s="390">
        <v>43377</v>
      </c>
      <c r="B472" s="380" t="s">
        <v>318</v>
      </c>
      <c r="C472" s="119" t="s">
        <v>31</v>
      </c>
      <c r="D472" s="119" t="s">
        <v>30</v>
      </c>
      <c r="E472" s="119" t="s">
        <v>81</v>
      </c>
      <c r="F472" s="119">
        <v>82</v>
      </c>
      <c r="G472" s="119">
        <v>144</v>
      </c>
      <c r="H472" s="443"/>
      <c r="I472" s="119">
        <v>1325</v>
      </c>
      <c r="J472" s="120"/>
      <c r="K472" s="283" t="s">
        <v>364</v>
      </c>
      <c r="L472" s="277" t="s">
        <v>213</v>
      </c>
      <c r="M472" s="239"/>
    </row>
    <row r="473" spans="1:14" ht="15.75" customHeight="1" x14ac:dyDescent="0.25">
      <c r="A473" s="390">
        <v>43377</v>
      </c>
      <c r="B473" s="106" t="s">
        <v>319</v>
      </c>
      <c r="C473" s="44" t="s">
        <v>320</v>
      </c>
      <c r="D473" s="44" t="s">
        <v>30</v>
      </c>
      <c r="E473" s="44" t="s">
        <v>81</v>
      </c>
      <c r="F473" s="44">
        <v>82</v>
      </c>
      <c r="G473" s="44">
        <v>288</v>
      </c>
      <c r="H473" s="45">
        <v>2810</v>
      </c>
      <c r="I473" s="44">
        <v>2810</v>
      </c>
      <c r="J473" s="46"/>
      <c r="K473" s="199"/>
      <c r="L473" s="327"/>
    </row>
    <row r="474" spans="1:14" ht="15.75" customHeight="1" x14ac:dyDescent="0.25">
      <c r="A474" s="390">
        <v>43377</v>
      </c>
      <c r="B474" s="106" t="s">
        <v>321</v>
      </c>
      <c r="C474" s="44" t="s">
        <v>320</v>
      </c>
      <c r="D474" s="44" t="s">
        <v>30</v>
      </c>
      <c r="E474" s="44" t="s">
        <v>81</v>
      </c>
      <c r="F474" s="44">
        <v>82</v>
      </c>
      <c r="G474" s="44">
        <v>288</v>
      </c>
      <c r="H474" s="45">
        <v>2840</v>
      </c>
      <c r="I474" s="44">
        <v>2840</v>
      </c>
      <c r="J474" s="46"/>
      <c r="K474" s="199"/>
      <c r="L474" s="327"/>
    </row>
    <row r="475" spans="1:14" ht="15.75" customHeight="1" x14ac:dyDescent="0.25">
      <c r="A475" s="390">
        <v>43377</v>
      </c>
      <c r="B475" s="208" t="s">
        <v>322</v>
      </c>
      <c r="C475" s="44" t="s">
        <v>320</v>
      </c>
      <c r="D475" s="44" t="s">
        <v>30</v>
      </c>
      <c r="E475" s="44" t="s">
        <v>81</v>
      </c>
      <c r="F475" s="44">
        <v>82</v>
      </c>
      <c r="G475" s="44">
        <v>72</v>
      </c>
      <c r="H475" s="439">
        <v>2720</v>
      </c>
      <c r="I475" s="44">
        <v>680</v>
      </c>
      <c r="J475" s="46"/>
      <c r="K475" s="199"/>
      <c r="L475" s="327"/>
    </row>
    <row r="476" spans="1:14" ht="15.75" customHeight="1" x14ac:dyDescent="0.25">
      <c r="A476" s="390">
        <v>43377</v>
      </c>
      <c r="B476" s="284" t="s">
        <v>322</v>
      </c>
      <c r="C476" s="44" t="s">
        <v>320</v>
      </c>
      <c r="D476" s="44" t="s">
        <v>30</v>
      </c>
      <c r="E476" s="44" t="s">
        <v>81</v>
      </c>
      <c r="F476" s="44">
        <v>85</v>
      </c>
      <c r="G476" s="44">
        <v>216</v>
      </c>
      <c r="H476" s="440"/>
      <c r="I476" s="44">
        <v>2040</v>
      </c>
      <c r="J476" s="46"/>
      <c r="K476" s="199"/>
      <c r="L476" s="327"/>
    </row>
    <row r="477" spans="1:14" ht="15.75" customHeight="1" x14ac:dyDescent="0.25">
      <c r="A477" s="390">
        <v>43377</v>
      </c>
      <c r="B477" s="208" t="s">
        <v>323</v>
      </c>
      <c r="C477" s="44" t="s">
        <v>320</v>
      </c>
      <c r="D477" s="44" t="s">
        <v>30</v>
      </c>
      <c r="E477" s="44" t="s">
        <v>81</v>
      </c>
      <c r="F477" s="44">
        <v>79</v>
      </c>
      <c r="G477" s="44">
        <v>108</v>
      </c>
      <c r="H477" s="439">
        <v>2780</v>
      </c>
      <c r="I477" s="44">
        <v>1042.5</v>
      </c>
      <c r="J477" s="46"/>
      <c r="K477" s="199"/>
      <c r="L477" s="327"/>
    </row>
    <row r="478" spans="1:14" ht="15.75" customHeight="1" x14ac:dyDescent="0.25">
      <c r="A478" s="390">
        <v>43377</v>
      </c>
      <c r="B478" s="208" t="s">
        <v>323</v>
      </c>
      <c r="C478" s="44" t="s">
        <v>320</v>
      </c>
      <c r="D478" s="44" t="s">
        <v>30</v>
      </c>
      <c r="E478" s="44" t="s">
        <v>81</v>
      </c>
      <c r="F478" s="44">
        <v>82</v>
      </c>
      <c r="G478" s="44">
        <v>36</v>
      </c>
      <c r="H478" s="444"/>
      <c r="I478" s="44">
        <v>347.5</v>
      </c>
      <c r="J478" s="46"/>
      <c r="K478" s="199"/>
      <c r="L478" s="327"/>
    </row>
    <row r="479" spans="1:14" ht="15.75" customHeight="1" x14ac:dyDescent="0.25">
      <c r="A479" s="390">
        <v>43377</v>
      </c>
      <c r="B479" s="208" t="s">
        <v>323</v>
      </c>
      <c r="C479" s="44" t="s">
        <v>320</v>
      </c>
      <c r="D479" s="44" t="s">
        <v>30</v>
      </c>
      <c r="E479" s="44" t="s">
        <v>81</v>
      </c>
      <c r="F479" s="44">
        <v>85</v>
      </c>
      <c r="G479" s="44">
        <v>144</v>
      </c>
      <c r="H479" s="440"/>
      <c r="I479" s="44">
        <v>1390</v>
      </c>
      <c r="J479" s="46"/>
      <c r="K479" s="199"/>
      <c r="L479" s="327"/>
    </row>
    <row r="480" spans="1:14" ht="15.75" customHeight="1" x14ac:dyDescent="0.25">
      <c r="A480" s="390">
        <v>43377</v>
      </c>
      <c r="B480" s="106" t="s">
        <v>324</v>
      </c>
      <c r="C480" s="44" t="s">
        <v>320</v>
      </c>
      <c r="D480" s="44" t="s">
        <v>30</v>
      </c>
      <c r="E480" s="44" t="s">
        <v>81</v>
      </c>
      <c r="F480" s="44">
        <v>82</v>
      </c>
      <c r="G480" s="44">
        <v>360</v>
      </c>
      <c r="H480" s="45">
        <v>3380</v>
      </c>
      <c r="I480" s="44">
        <v>3380</v>
      </c>
      <c r="J480" s="46"/>
      <c r="K480" s="199"/>
      <c r="L480" s="330"/>
    </row>
    <row r="481" spans="1:13" ht="15.75" customHeight="1" x14ac:dyDescent="0.25">
      <c r="A481" s="390">
        <v>43377</v>
      </c>
      <c r="B481" s="208" t="s">
        <v>325</v>
      </c>
      <c r="C481" s="44" t="s">
        <v>320</v>
      </c>
      <c r="D481" s="44" t="s">
        <v>30</v>
      </c>
      <c r="E481" s="44" t="s">
        <v>81</v>
      </c>
      <c r="F481" s="44">
        <v>82</v>
      </c>
      <c r="G481" s="44">
        <v>216</v>
      </c>
      <c r="H481" s="439">
        <v>3580</v>
      </c>
      <c r="I481" s="45">
        <v>2148</v>
      </c>
      <c r="J481" s="46"/>
      <c r="K481" s="199"/>
      <c r="L481" s="330"/>
    </row>
    <row r="482" spans="1:13" ht="15.75" customHeight="1" x14ac:dyDescent="0.25">
      <c r="A482" s="390">
        <v>43377</v>
      </c>
      <c r="B482" s="208" t="s">
        <v>325</v>
      </c>
      <c r="C482" s="73" t="s">
        <v>320</v>
      </c>
      <c r="D482" s="73" t="s">
        <v>30</v>
      </c>
      <c r="E482" s="44" t="s">
        <v>81</v>
      </c>
      <c r="F482" s="73">
        <v>85</v>
      </c>
      <c r="G482" s="73">
        <v>144</v>
      </c>
      <c r="H482" s="444"/>
      <c r="I482" s="73">
        <v>1432</v>
      </c>
      <c r="J482" s="109"/>
      <c r="K482" s="339"/>
      <c r="L482" s="340"/>
    </row>
    <row r="483" spans="1:13" ht="15.75" customHeight="1" x14ac:dyDescent="0.25">
      <c r="A483" s="390">
        <v>43377</v>
      </c>
      <c r="B483" s="381" t="s">
        <v>326</v>
      </c>
      <c r="C483" s="136" t="s">
        <v>320</v>
      </c>
      <c r="D483" s="136" t="s">
        <v>30</v>
      </c>
      <c r="E483" s="133" t="s">
        <v>81</v>
      </c>
      <c r="F483" s="139">
        <v>82</v>
      </c>
      <c r="G483" s="139">
        <v>108</v>
      </c>
      <c r="H483" s="434">
        <v>2870</v>
      </c>
      <c r="I483" s="139">
        <v>1076.3</v>
      </c>
      <c r="J483" s="140"/>
      <c r="K483" s="273" t="s">
        <v>366</v>
      </c>
      <c r="L483" s="264" t="s">
        <v>213</v>
      </c>
      <c r="M483" s="239"/>
    </row>
    <row r="484" spans="1:13" ht="15.75" customHeight="1" x14ac:dyDescent="0.25">
      <c r="A484" s="390">
        <v>43377</v>
      </c>
      <c r="B484" s="381" t="s">
        <v>326</v>
      </c>
      <c r="C484" s="136" t="s">
        <v>320</v>
      </c>
      <c r="D484" s="136" t="s">
        <v>30</v>
      </c>
      <c r="E484" s="133" t="s">
        <v>81</v>
      </c>
      <c r="F484" s="139">
        <v>85</v>
      </c>
      <c r="G484" s="139">
        <v>180</v>
      </c>
      <c r="H484" s="436"/>
      <c r="I484" s="139">
        <v>1793.7</v>
      </c>
      <c r="J484" s="140"/>
      <c r="K484" s="273" t="s">
        <v>366</v>
      </c>
      <c r="L484" s="264" t="s">
        <v>213</v>
      </c>
      <c r="M484" s="239"/>
    </row>
    <row r="485" spans="1:13" ht="15.75" customHeight="1" x14ac:dyDescent="0.25">
      <c r="A485" s="390">
        <v>43377</v>
      </c>
      <c r="B485" s="206" t="s">
        <v>327</v>
      </c>
      <c r="C485" s="136" t="s">
        <v>320</v>
      </c>
      <c r="D485" s="136" t="s">
        <v>30</v>
      </c>
      <c r="E485" s="133" t="s">
        <v>81</v>
      </c>
      <c r="F485" s="139">
        <v>82</v>
      </c>
      <c r="G485" s="139">
        <v>288</v>
      </c>
      <c r="H485" s="138">
        <v>2970</v>
      </c>
      <c r="I485" s="139">
        <v>2970</v>
      </c>
      <c r="J485" s="140"/>
      <c r="K485" s="273" t="s">
        <v>366</v>
      </c>
      <c r="L485" s="264" t="s">
        <v>213</v>
      </c>
      <c r="M485" s="239"/>
    </row>
    <row r="486" spans="1:13" ht="15.75" customHeight="1" x14ac:dyDescent="0.25">
      <c r="A486" s="390">
        <v>43377</v>
      </c>
      <c r="B486" s="381" t="s">
        <v>328</v>
      </c>
      <c r="C486" s="136" t="s">
        <v>320</v>
      </c>
      <c r="D486" s="136" t="s">
        <v>30</v>
      </c>
      <c r="E486" s="133" t="s">
        <v>81</v>
      </c>
      <c r="F486" s="141">
        <v>79</v>
      </c>
      <c r="G486" s="141">
        <v>72</v>
      </c>
      <c r="H486" s="434">
        <v>2790</v>
      </c>
      <c r="I486" s="141">
        <v>697.5</v>
      </c>
      <c r="J486" s="140"/>
      <c r="K486" s="273" t="s">
        <v>366</v>
      </c>
      <c r="L486" s="264" t="s">
        <v>213</v>
      </c>
      <c r="M486" s="239"/>
    </row>
    <row r="487" spans="1:13" ht="15.75" customHeight="1" x14ac:dyDescent="0.25">
      <c r="A487" s="390">
        <v>43377</v>
      </c>
      <c r="B487" s="381" t="s">
        <v>328</v>
      </c>
      <c r="C487" s="136" t="s">
        <v>320</v>
      </c>
      <c r="D487" s="136" t="s">
        <v>30</v>
      </c>
      <c r="E487" s="133" t="s">
        <v>81</v>
      </c>
      <c r="F487" s="141">
        <v>82</v>
      </c>
      <c r="G487" s="141">
        <v>108</v>
      </c>
      <c r="H487" s="435"/>
      <c r="I487" s="141">
        <v>1046.25</v>
      </c>
      <c r="J487" s="140"/>
      <c r="K487" s="273" t="s">
        <v>366</v>
      </c>
      <c r="L487" s="264" t="s">
        <v>213</v>
      </c>
      <c r="M487" s="239"/>
    </row>
    <row r="488" spans="1:13" ht="15.75" customHeight="1" x14ac:dyDescent="0.25">
      <c r="A488" s="390">
        <v>43377</v>
      </c>
      <c r="B488" s="381" t="s">
        <v>328</v>
      </c>
      <c r="C488" s="136" t="s">
        <v>320</v>
      </c>
      <c r="D488" s="136" t="s">
        <v>30</v>
      </c>
      <c r="E488" s="133" t="s">
        <v>81</v>
      </c>
      <c r="F488" s="141">
        <v>85</v>
      </c>
      <c r="G488" s="141">
        <v>108</v>
      </c>
      <c r="H488" s="436"/>
      <c r="I488" s="141">
        <v>1046.25</v>
      </c>
      <c r="J488" s="140"/>
      <c r="K488" s="273" t="s">
        <v>366</v>
      </c>
      <c r="L488" s="264" t="s">
        <v>213</v>
      </c>
      <c r="M488" s="239"/>
    </row>
    <row r="489" spans="1:13" ht="15.75" customHeight="1" x14ac:dyDescent="0.3">
      <c r="A489" s="390">
        <v>43377</v>
      </c>
      <c r="B489" s="208" t="s">
        <v>329</v>
      </c>
      <c r="C489" s="73" t="s">
        <v>320</v>
      </c>
      <c r="D489" s="73" t="s">
        <v>30</v>
      </c>
      <c r="E489" s="44" t="s">
        <v>81</v>
      </c>
      <c r="F489" s="102">
        <v>76</v>
      </c>
      <c r="G489" s="102">
        <v>144</v>
      </c>
      <c r="H489" s="421">
        <v>2540</v>
      </c>
      <c r="I489" s="102">
        <v>1270</v>
      </c>
      <c r="J489" s="101"/>
      <c r="K489" s="333"/>
      <c r="L489" s="334"/>
    </row>
    <row r="490" spans="1:13" ht="15.75" customHeight="1" x14ac:dyDescent="0.3">
      <c r="A490" s="390">
        <v>43377</v>
      </c>
      <c r="B490" s="208" t="s">
        <v>329</v>
      </c>
      <c r="C490" s="73" t="s">
        <v>320</v>
      </c>
      <c r="D490" s="73" t="s">
        <v>30</v>
      </c>
      <c r="E490" s="44" t="s">
        <v>81</v>
      </c>
      <c r="F490" s="102">
        <v>82</v>
      </c>
      <c r="G490" s="102">
        <v>144</v>
      </c>
      <c r="H490" s="423"/>
      <c r="I490" s="102">
        <v>1270</v>
      </c>
      <c r="J490" s="101"/>
      <c r="K490" s="333"/>
      <c r="L490" s="334"/>
    </row>
    <row r="491" spans="1:13" ht="15.75" customHeight="1" x14ac:dyDescent="0.3">
      <c r="A491" s="390">
        <v>43377</v>
      </c>
      <c r="B491" s="207" t="s">
        <v>330</v>
      </c>
      <c r="C491" s="73" t="s">
        <v>320</v>
      </c>
      <c r="D491" s="73" t="s">
        <v>30</v>
      </c>
      <c r="E491" s="44" t="s">
        <v>81</v>
      </c>
      <c r="F491" s="102">
        <v>82</v>
      </c>
      <c r="G491" s="102">
        <v>288</v>
      </c>
      <c r="H491" s="104">
        <v>2810</v>
      </c>
      <c r="I491" s="102">
        <v>2810</v>
      </c>
      <c r="J491" s="101"/>
      <c r="K491" s="333"/>
      <c r="L491" s="334"/>
    </row>
    <row r="492" spans="1:13" ht="15.75" customHeight="1" x14ac:dyDescent="0.3">
      <c r="A492" s="390">
        <v>43377</v>
      </c>
      <c r="B492" s="208" t="s">
        <v>331</v>
      </c>
      <c r="C492" s="73" t="s">
        <v>320</v>
      </c>
      <c r="D492" s="73" t="s">
        <v>30</v>
      </c>
      <c r="E492" s="44" t="s">
        <v>81</v>
      </c>
      <c r="F492" s="102">
        <v>76</v>
      </c>
      <c r="G492" s="102">
        <v>108</v>
      </c>
      <c r="H492" s="421">
        <v>2740</v>
      </c>
      <c r="I492" s="102">
        <v>1027.5</v>
      </c>
      <c r="J492" s="101"/>
      <c r="K492" s="333"/>
      <c r="L492" s="334"/>
    </row>
    <row r="493" spans="1:13" ht="15.75" customHeight="1" x14ac:dyDescent="0.3">
      <c r="A493" s="390">
        <v>43377</v>
      </c>
      <c r="B493" s="208" t="s">
        <v>331</v>
      </c>
      <c r="C493" s="73" t="s">
        <v>320</v>
      </c>
      <c r="D493" s="73" t="s">
        <v>30</v>
      </c>
      <c r="E493" s="44" t="s">
        <v>81</v>
      </c>
      <c r="F493" s="102">
        <v>82</v>
      </c>
      <c r="G493" s="102">
        <v>180</v>
      </c>
      <c r="H493" s="423"/>
      <c r="I493" s="102">
        <v>1712.5</v>
      </c>
      <c r="J493" s="101"/>
      <c r="K493" s="333"/>
      <c r="L493" s="334"/>
    </row>
    <row r="494" spans="1:13" ht="15.75" customHeight="1" x14ac:dyDescent="0.3">
      <c r="A494" s="390">
        <v>43377</v>
      </c>
      <c r="B494" s="207" t="s">
        <v>332</v>
      </c>
      <c r="C494" s="73" t="s">
        <v>320</v>
      </c>
      <c r="D494" s="73" t="s">
        <v>30</v>
      </c>
      <c r="E494" s="44" t="s">
        <v>81</v>
      </c>
      <c r="F494" s="102">
        <v>82</v>
      </c>
      <c r="G494" s="102">
        <v>288</v>
      </c>
      <c r="H494" s="103">
        <v>2960</v>
      </c>
      <c r="I494" s="102">
        <v>2960</v>
      </c>
      <c r="J494" s="101"/>
      <c r="K494" s="333"/>
      <c r="L494" s="334"/>
    </row>
    <row r="495" spans="1:13" ht="15.75" customHeight="1" x14ac:dyDescent="0.3">
      <c r="A495" s="390">
        <v>43377</v>
      </c>
      <c r="B495" s="208" t="s">
        <v>333</v>
      </c>
      <c r="C495" s="73" t="s">
        <v>320</v>
      </c>
      <c r="D495" s="73" t="s">
        <v>30</v>
      </c>
      <c r="E495" s="44" t="s">
        <v>81</v>
      </c>
      <c r="F495" s="102">
        <v>82</v>
      </c>
      <c r="G495" s="102">
        <v>288</v>
      </c>
      <c r="H495" s="103">
        <v>2530</v>
      </c>
      <c r="I495" s="102">
        <v>2530</v>
      </c>
      <c r="J495" s="101"/>
      <c r="K495" s="333"/>
      <c r="L495" s="334"/>
    </row>
    <row r="496" spans="1:13" ht="15.75" customHeight="1" x14ac:dyDescent="0.3">
      <c r="A496" s="390">
        <v>43377</v>
      </c>
      <c r="B496" s="208" t="s">
        <v>334</v>
      </c>
      <c r="C496" s="73" t="s">
        <v>320</v>
      </c>
      <c r="D496" s="73" t="s">
        <v>30</v>
      </c>
      <c r="E496" s="44" t="s">
        <v>81</v>
      </c>
      <c r="F496" s="102">
        <v>79</v>
      </c>
      <c r="G496" s="102">
        <v>252</v>
      </c>
      <c r="H496" s="421">
        <v>3306</v>
      </c>
      <c r="I496" s="102">
        <v>2352</v>
      </c>
      <c r="J496" s="101"/>
      <c r="K496" s="333"/>
      <c r="L496" s="334"/>
    </row>
    <row r="497" spans="1:13" ht="15.75" customHeight="1" x14ac:dyDescent="0.3">
      <c r="A497" s="390">
        <v>43377</v>
      </c>
      <c r="B497" s="208" t="s">
        <v>334</v>
      </c>
      <c r="C497" s="73" t="s">
        <v>320</v>
      </c>
      <c r="D497" s="73" t="s">
        <v>30</v>
      </c>
      <c r="E497" s="44" t="s">
        <v>81</v>
      </c>
      <c r="F497" s="102">
        <v>82</v>
      </c>
      <c r="G497" s="102">
        <v>108</v>
      </c>
      <c r="H497" s="423"/>
      <c r="I497" s="102">
        <v>1008</v>
      </c>
      <c r="J497" s="101"/>
      <c r="K497" s="333"/>
      <c r="L497" s="334"/>
    </row>
    <row r="498" spans="1:13" ht="15.75" customHeight="1" x14ac:dyDescent="0.3">
      <c r="A498" s="390">
        <v>43377</v>
      </c>
      <c r="B498" s="208" t="s">
        <v>335</v>
      </c>
      <c r="C498" s="73" t="s">
        <v>320</v>
      </c>
      <c r="D498" s="73" t="s">
        <v>30</v>
      </c>
      <c r="E498" s="44" t="s">
        <v>81</v>
      </c>
      <c r="F498" s="102">
        <v>76</v>
      </c>
      <c r="G498" s="102">
        <v>72</v>
      </c>
      <c r="H498" s="421">
        <v>3130</v>
      </c>
      <c r="I498" s="102">
        <v>626</v>
      </c>
      <c r="J498" s="101"/>
      <c r="K498" s="333"/>
      <c r="L498" s="334"/>
    </row>
    <row r="499" spans="1:13" ht="15.75" customHeight="1" x14ac:dyDescent="0.3">
      <c r="A499" s="390">
        <v>43377</v>
      </c>
      <c r="B499" s="208" t="s">
        <v>335</v>
      </c>
      <c r="C499" s="73" t="s">
        <v>320</v>
      </c>
      <c r="D499" s="73" t="s">
        <v>30</v>
      </c>
      <c r="E499" s="44" t="s">
        <v>81</v>
      </c>
      <c r="F499" s="102">
        <v>82</v>
      </c>
      <c r="G499" s="102">
        <v>288</v>
      </c>
      <c r="H499" s="423"/>
      <c r="I499" s="102">
        <v>2504</v>
      </c>
      <c r="J499" s="101"/>
      <c r="K499" s="333"/>
      <c r="L499" s="334"/>
    </row>
    <row r="500" spans="1:13" ht="15.75" customHeight="1" x14ac:dyDescent="0.3">
      <c r="A500" s="390">
        <v>43377</v>
      </c>
      <c r="B500" s="208" t="s">
        <v>336</v>
      </c>
      <c r="C500" s="73" t="s">
        <v>320</v>
      </c>
      <c r="D500" s="73" t="s">
        <v>30</v>
      </c>
      <c r="E500" s="44" t="s">
        <v>81</v>
      </c>
      <c r="F500" s="102">
        <v>79</v>
      </c>
      <c r="G500" s="102">
        <v>144</v>
      </c>
      <c r="H500" s="432">
        <v>2710</v>
      </c>
      <c r="I500" s="102">
        <v>1355</v>
      </c>
      <c r="J500" s="101"/>
      <c r="K500" s="333"/>
      <c r="L500" s="334"/>
    </row>
    <row r="501" spans="1:13" ht="15.75" customHeight="1" x14ac:dyDescent="0.3">
      <c r="A501" s="390">
        <v>43377</v>
      </c>
      <c r="B501" s="208" t="s">
        <v>336</v>
      </c>
      <c r="C501" s="73" t="s">
        <v>320</v>
      </c>
      <c r="D501" s="73" t="s">
        <v>30</v>
      </c>
      <c r="E501" s="44" t="s">
        <v>81</v>
      </c>
      <c r="F501" s="102">
        <v>85</v>
      </c>
      <c r="G501" s="102">
        <v>144</v>
      </c>
      <c r="H501" s="433"/>
      <c r="I501" s="102">
        <v>1355</v>
      </c>
      <c r="J501" s="101"/>
      <c r="K501" s="333"/>
      <c r="L501" s="334"/>
    </row>
    <row r="502" spans="1:13" ht="15.75" customHeight="1" x14ac:dyDescent="0.3">
      <c r="A502" s="390">
        <v>43377</v>
      </c>
      <c r="B502" s="208" t="s">
        <v>337</v>
      </c>
      <c r="C502" s="73" t="s">
        <v>320</v>
      </c>
      <c r="D502" s="73" t="s">
        <v>30</v>
      </c>
      <c r="E502" s="44" t="s">
        <v>81</v>
      </c>
      <c r="F502" s="102">
        <v>76</v>
      </c>
      <c r="G502" s="102">
        <v>36</v>
      </c>
      <c r="H502" s="421">
        <v>2800</v>
      </c>
      <c r="I502" s="102">
        <v>350</v>
      </c>
      <c r="J502" s="101"/>
      <c r="K502" s="333"/>
      <c r="L502" s="334"/>
    </row>
    <row r="503" spans="1:13" ht="15.75" customHeight="1" x14ac:dyDescent="0.3">
      <c r="A503" s="390">
        <v>43377</v>
      </c>
      <c r="B503" s="208" t="s">
        <v>337</v>
      </c>
      <c r="C503" s="73" t="s">
        <v>320</v>
      </c>
      <c r="D503" s="73" t="s">
        <v>30</v>
      </c>
      <c r="E503" s="44" t="s">
        <v>81</v>
      </c>
      <c r="F503" s="102">
        <v>81</v>
      </c>
      <c r="G503" s="102">
        <v>72</v>
      </c>
      <c r="H503" s="422"/>
      <c r="I503" s="102">
        <v>700</v>
      </c>
      <c r="J503" s="101"/>
      <c r="K503" s="333"/>
      <c r="L503" s="334"/>
    </row>
    <row r="504" spans="1:13" ht="15.75" customHeight="1" x14ac:dyDescent="0.3">
      <c r="A504" s="390">
        <v>43377</v>
      </c>
      <c r="B504" s="208" t="s">
        <v>337</v>
      </c>
      <c r="C504" s="73" t="s">
        <v>320</v>
      </c>
      <c r="D504" s="73" t="s">
        <v>30</v>
      </c>
      <c r="E504" s="44" t="s">
        <v>81</v>
      </c>
      <c r="F504" s="102">
        <v>82</v>
      </c>
      <c r="G504" s="102">
        <v>36</v>
      </c>
      <c r="H504" s="422"/>
      <c r="I504" s="102">
        <v>350</v>
      </c>
      <c r="J504" s="101"/>
      <c r="K504" s="333"/>
      <c r="L504" s="334"/>
    </row>
    <row r="505" spans="1:13" ht="15.75" customHeight="1" x14ac:dyDescent="0.3">
      <c r="A505" s="390">
        <v>43377</v>
      </c>
      <c r="B505" s="208" t="s">
        <v>337</v>
      </c>
      <c r="C505" s="73" t="s">
        <v>320</v>
      </c>
      <c r="D505" s="73" t="s">
        <v>30</v>
      </c>
      <c r="E505" s="44" t="s">
        <v>81</v>
      </c>
      <c r="F505" s="102">
        <v>85</v>
      </c>
      <c r="G505" s="102">
        <v>144</v>
      </c>
      <c r="H505" s="423"/>
      <c r="I505" s="102">
        <v>1400</v>
      </c>
      <c r="J505" s="101"/>
      <c r="K505" s="333"/>
      <c r="L505" s="334"/>
    </row>
    <row r="506" spans="1:13" ht="15.75" customHeight="1" x14ac:dyDescent="0.3">
      <c r="A506" s="390">
        <v>43377</v>
      </c>
      <c r="B506" s="207" t="s">
        <v>338</v>
      </c>
      <c r="C506" s="73" t="s">
        <v>320</v>
      </c>
      <c r="D506" s="73" t="s">
        <v>30</v>
      </c>
      <c r="E506" s="44" t="s">
        <v>81</v>
      </c>
      <c r="F506" s="110">
        <v>79</v>
      </c>
      <c r="G506" s="110">
        <v>72</v>
      </c>
      <c r="H506" s="418">
        <v>2660</v>
      </c>
      <c r="I506" s="110">
        <v>665</v>
      </c>
      <c r="J506" s="101"/>
      <c r="K506" s="333"/>
      <c r="L506" s="334"/>
    </row>
    <row r="507" spans="1:13" ht="15.75" customHeight="1" x14ac:dyDescent="0.3">
      <c r="A507" s="390">
        <v>43377</v>
      </c>
      <c r="B507" s="207" t="s">
        <v>338</v>
      </c>
      <c r="C507" s="73" t="s">
        <v>320</v>
      </c>
      <c r="D507" s="73" t="s">
        <v>30</v>
      </c>
      <c r="E507" s="44" t="s">
        <v>81</v>
      </c>
      <c r="F507" s="110">
        <v>82</v>
      </c>
      <c r="G507" s="110">
        <v>216</v>
      </c>
      <c r="H507" s="418"/>
      <c r="I507" s="110">
        <v>1995</v>
      </c>
      <c r="J507" s="101"/>
      <c r="K507" s="333"/>
      <c r="L507" s="334"/>
    </row>
    <row r="508" spans="1:13" ht="15.75" customHeight="1" x14ac:dyDescent="0.25">
      <c r="A508" s="390">
        <v>43377</v>
      </c>
      <c r="B508" s="209" t="s">
        <v>339</v>
      </c>
      <c r="C508" s="144" t="s">
        <v>320</v>
      </c>
      <c r="D508" s="144" t="s">
        <v>30</v>
      </c>
      <c r="E508" s="145" t="s">
        <v>81</v>
      </c>
      <c r="F508" s="146">
        <v>82</v>
      </c>
      <c r="G508" s="146">
        <v>288</v>
      </c>
      <c r="H508" s="143">
        <v>2860</v>
      </c>
      <c r="I508" s="146">
        <v>2860</v>
      </c>
      <c r="J508" s="147"/>
      <c r="K508" s="266" t="s">
        <v>368</v>
      </c>
      <c r="L508" s="266" t="s">
        <v>284</v>
      </c>
      <c r="M508" s="239"/>
    </row>
    <row r="509" spans="1:13" ht="15.75" customHeight="1" x14ac:dyDescent="0.25">
      <c r="A509" s="390">
        <v>43377</v>
      </c>
      <c r="B509" s="210" t="s">
        <v>340</v>
      </c>
      <c r="C509" s="144" t="s">
        <v>320</v>
      </c>
      <c r="D509" s="144" t="s">
        <v>30</v>
      </c>
      <c r="E509" s="145" t="s">
        <v>81</v>
      </c>
      <c r="F509" s="153">
        <v>81</v>
      </c>
      <c r="G509" s="153">
        <v>108</v>
      </c>
      <c r="H509" s="426">
        <v>2790</v>
      </c>
      <c r="I509" s="153">
        <v>1046.25</v>
      </c>
      <c r="J509" s="147"/>
      <c r="K509" s="266" t="s">
        <v>368</v>
      </c>
      <c r="L509" s="266" t="s">
        <v>284</v>
      </c>
      <c r="M509" s="239"/>
    </row>
    <row r="510" spans="1:13" ht="15.75" customHeight="1" x14ac:dyDescent="0.25">
      <c r="A510" s="390">
        <v>43377</v>
      </c>
      <c r="B510" s="210" t="s">
        <v>340</v>
      </c>
      <c r="C510" s="144" t="s">
        <v>320</v>
      </c>
      <c r="D510" s="144" t="s">
        <v>30</v>
      </c>
      <c r="E510" s="145" t="s">
        <v>81</v>
      </c>
      <c r="F510" s="153">
        <v>82</v>
      </c>
      <c r="G510" s="153">
        <v>180</v>
      </c>
      <c r="H510" s="427"/>
      <c r="I510" s="153">
        <v>1743.75</v>
      </c>
      <c r="J510" s="147"/>
      <c r="K510" s="266" t="s">
        <v>368</v>
      </c>
      <c r="L510" s="266" t="s">
        <v>284</v>
      </c>
      <c r="M510" s="239"/>
    </row>
    <row r="511" spans="1:13" ht="15.75" customHeight="1" x14ac:dyDescent="0.25">
      <c r="A511" s="390">
        <v>43377</v>
      </c>
      <c r="B511" s="210" t="s">
        <v>341</v>
      </c>
      <c r="C511" s="144" t="s">
        <v>320</v>
      </c>
      <c r="D511" s="144" t="s">
        <v>30</v>
      </c>
      <c r="E511" s="145" t="s">
        <v>81</v>
      </c>
      <c r="F511" s="146">
        <v>79</v>
      </c>
      <c r="G511" s="146">
        <v>144</v>
      </c>
      <c r="H511" s="426">
        <v>2620</v>
      </c>
      <c r="I511" s="146">
        <v>1310</v>
      </c>
      <c r="J511" s="147"/>
      <c r="K511" s="266" t="s">
        <v>368</v>
      </c>
      <c r="L511" s="266" t="s">
        <v>284</v>
      </c>
      <c r="M511" s="239"/>
    </row>
    <row r="512" spans="1:13" ht="15.75" customHeight="1" x14ac:dyDescent="0.25">
      <c r="A512" s="390">
        <v>43377</v>
      </c>
      <c r="B512" s="210" t="s">
        <v>341</v>
      </c>
      <c r="C512" s="144" t="s">
        <v>320</v>
      </c>
      <c r="D512" s="144" t="s">
        <v>30</v>
      </c>
      <c r="E512" s="145" t="s">
        <v>81</v>
      </c>
      <c r="F512" s="146">
        <v>82</v>
      </c>
      <c r="G512" s="146">
        <v>144</v>
      </c>
      <c r="H512" s="427"/>
      <c r="I512" s="146">
        <v>1310</v>
      </c>
      <c r="J512" s="147"/>
      <c r="K512" s="266" t="s">
        <v>368</v>
      </c>
      <c r="L512" s="266" t="s">
        <v>284</v>
      </c>
      <c r="M512" s="239"/>
    </row>
    <row r="513" spans="1:13" ht="15.75" customHeight="1" x14ac:dyDescent="0.25">
      <c r="A513" s="390">
        <v>43377</v>
      </c>
      <c r="B513" s="210" t="s">
        <v>342</v>
      </c>
      <c r="C513" s="144" t="s">
        <v>320</v>
      </c>
      <c r="D513" s="144" t="s">
        <v>30</v>
      </c>
      <c r="E513" s="145" t="s">
        <v>81</v>
      </c>
      <c r="F513" s="146">
        <v>82</v>
      </c>
      <c r="G513" s="146">
        <v>288</v>
      </c>
      <c r="H513" s="143">
        <v>2660</v>
      </c>
      <c r="I513" s="146">
        <v>2660</v>
      </c>
      <c r="J513" s="147"/>
      <c r="K513" s="266" t="s">
        <v>368</v>
      </c>
      <c r="L513" s="266" t="s">
        <v>284</v>
      </c>
      <c r="M513" s="239"/>
    </row>
    <row r="514" spans="1:13" ht="15.75" customHeight="1" x14ac:dyDescent="0.25">
      <c r="A514" s="390">
        <v>43377</v>
      </c>
      <c r="B514" s="211" t="s">
        <v>343</v>
      </c>
      <c r="C514" s="144" t="s">
        <v>320</v>
      </c>
      <c r="D514" s="144" t="s">
        <v>30</v>
      </c>
      <c r="E514" s="145" t="s">
        <v>81</v>
      </c>
      <c r="F514" s="146">
        <v>82</v>
      </c>
      <c r="G514" s="146">
        <v>288</v>
      </c>
      <c r="H514" s="143">
        <v>3000</v>
      </c>
      <c r="I514" s="146">
        <v>3000</v>
      </c>
      <c r="J514" s="147"/>
      <c r="K514" s="266" t="s">
        <v>368</v>
      </c>
      <c r="L514" s="266" t="s">
        <v>284</v>
      </c>
      <c r="M514" s="239"/>
    </row>
    <row r="515" spans="1:13" ht="15.75" customHeight="1" x14ac:dyDescent="0.25">
      <c r="A515" s="390">
        <v>43377</v>
      </c>
      <c r="B515" s="211" t="s">
        <v>344</v>
      </c>
      <c r="C515" s="144" t="s">
        <v>320</v>
      </c>
      <c r="D515" s="144" t="s">
        <v>30</v>
      </c>
      <c r="E515" s="145" t="s">
        <v>81</v>
      </c>
      <c r="F515" s="146">
        <v>82</v>
      </c>
      <c r="G515" s="146">
        <v>288</v>
      </c>
      <c r="H515" s="143">
        <v>2730</v>
      </c>
      <c r="I515" s="146">
        <v>2730</v>
      </c>
      <c r="J515" s="147"/>
      <c r="K515" s="266" t="s">
        <v>368</v>
      </c>
      <c r="L515" s="266" t="s">
        <v>284</v>
      </c>
      <c r="M515" s="239"/>
    </row>
    <row r="516" spans="1:13" ht="15.75" customHeight="1" x14ac:dyDescent="0.25">
      <c r="A516" s="390">
        <v>43377</v>
      </c>
      <c r="B516" s="207" t="s">
        <v>345</v>
      </c>
      <c r="C516" s="73" t="s">
        <v>320</v>
      </c>
      <c r="D516" s="73" t="s">
        <v>30</v>
      </c>
      <c r="E516" s="44" t="s">
        <v>81</v>
      </c>
      <c r="F516" s="150">
        <v>82</v>
      </c>
      <c r="G516" s="150">
        <v>288</v>
      </c>
      <c r="H516" s="142">
        <v>2860</v>
      </c>
      <c r="I516" s="150">
        <v>2860</v>
      </c>
      <c r="J516" s="151"/>
      <c r="K516" s="199"/>
      <c r="L516" s="327"/>
    </row>
    <row r="517" spans="1:13" ht="15.75" customHeight="1" x14ac:dyDescent="0.25">
      <c r="A517" s="390">
        <v>43377</v>
      </c>
      <c r="B517" s="208" t="s">
        <v>346</v>
      </c>
      <c r="C517" s="73" t="s">
        <v>320</v>
      </c>
      <c r="D517" s="73" t="s">
        <v>30</v>
      </c>
      <c r="E517" s="44" t="s">
        <v>81</v>
      </c>
      <c r="F517" s="150">
        <v>79</v>
      </c>
      <c r="G517" s="150">
        <v>252</v>
      </c>
      <c r="H517" s="428">
        <v>3330</v>
      </c>
      <c r="I517" s="150">
        <v>2352</v>
      </c>
      <c r="J517" s="152"/>
      <c r="K517" s="199"/>
      <c r="L517" s="327"/>
    </row>
    <row r="518" spans="1:13" ht="15.75" customHeight="1" x14ac:dyDescent="0.25">
      <c r="A518" s="390">
        <v>43377</v>
      </c>
      <c r="B518" s="208" t="s">
        <v>346</v>
      </c>
      <c r="C518" s="73" t="s">
        <v>320</v>
      </c>
      <c r="D518" s="73" t="s">
        <v>30</v>
      </c>
      <c r="E518" s="44" t="s">
        <v>81</v>
      </c>
      <c r="F518" s="150">
        <v>85</v>
      </c>
      <c r="G518" s="150">
        <v>108</v>
      </c>
      <c r="H518" s="429"/>
      <c r="I518" s="150">
        <v>1008</v>
      </c>
      <c r="J518" s="152"/>
      <c r="K518" s="199"/>
      <c r="L518" s="327"/>
    </row>
    <row r="519" spans="1:13" ht="15.75" customHeight="1" x14ac:dyDescent="0.25">
      <c r="A519" s="390">
        <v>43377</v>
      </c>
      <c r="B519" s="208" t="s">
        <v>347</v>
      </c>
      <c r="C519" s="73" t="s">
        <v>320</v>
      </c>
      <c r="D519" s="73" t="s">
        <v>30</v>
      </c>
      <c r="E519" s="44" t="s">
        <v>81</v>
      </c>
      <c r="F519" s="150">
        <v>76</v>
      </c>
      <c r="G519" s="150">
        <v>72</v>
      </c>
      <c r="H519" s="430">
        <v>2830</v>
      </c>
      <c r="I519" s="150">
        <v>707.5</v>
      </c>
      <c r="J519" s="152"/>
      <c r="K519" s="199"/>
      <c r="L519" s="327"/>
    </row>
    <row r="520" spans="1:13" ht="15.75" customHeight="1" x14ac:dyDescent="0.25">
      <c r="A520" s="390">
        <v>43377</v>
      </c>
      <c r="B520" s="208" t="s">
        <v>347</v>
      </c>
      <c r="C520" s="73" t="s">
        <v>320</v>
      </c>
      <c r="D520" s="73" t="s">
        <v>30</v>
      </c>
      <c r="E520" s="44" t="s">
        <v>81</v>
      </c>
      <c r="F520" s="150">
        <v>82</v>
      </c>
      <c r="G520" s="150">
        <v>216</v>
      </c>
      <c r="H520" s="431"/>
      <c r="I520" s="150">
        <v>2122.5</v>
      </c>
      <c r="J520" s="152"/>
      <c r="K520" s="199"/>
      <c r="L520" s="327"/>
    </row>
    <row r="521" spans="1:13" ht="15.75" customHeight="1" x14ac:dyDescent="0.25">
      <c r="A521" s="390">
        <v>43377</v>
      </c>
      <c r="B521" s="207" t="s">
        <v>348</v>
      </c>
      <c r="C521" s="73" t="s">
        <v>320</v>
      </c>
      <c r="D521" s="73" t="s">
        <v>30</v>
      </c>
      <c r="E521" s="44" t="s">
        <v>81</v>
      </c>
      <c r="F521" s="150">
        <v>82</v>
      </c>
      <c r="G521" s="150">
        <v>360</v>
      </c>
      <c r="H521" s="142">
        <v>3310</v>
      </c>
      <c r="I521" s="150">
        <v>3310</v>
      </c>
      <c r="J521" s="152"/>
      <c r="K521" s="199"/>
      <c r="L521" s="327"/>
    </row>
    <row r="522" spans="1:13" ht="15.75" customHeight="1" x14ac:dyDescent="0.25">
      <c r="A522" s="390">
        <v>43377</v>
      </c>
      <c r="B522" s="382" t="s">
        <v>349</v>
      </c>
      <c r="C522" s="114" t="s">
        <v>320</v>
      </c>
      <c r="D522" s="114" t="s">
        <v>30</v>
      </c>
      <c r="E522" s="112" t="s">
        <v>81</v>
      </c>
      <c r="F522" s="115">
        <v>79</v>
      </c>
      <c r="G522" s="115">
        <v>144</v>
      </c>
      <c r="H522" s="424">
        <v>2720</v>
      </c>
      <c r="I522" s="115">
        <v>1360</v>
      </c>
      <c r="J522" s="116"/>
      <c r="K522" s="270" t="s">
        <v>363</v>
      </c>
      <c r="L522" s="263" t="s">
        <v>213</v>
      </c>
      <c r="M522" s="239"/>
    </row>
    <row r="523" spans="1:13" ht="15.75" customHeight="1" x14ac:dyDescent="0.25">
      <c r="A523" s="390">
        <v>43377</v>
      </c>
      <c r="B523" s="382" t="s">
        <v>349</v>
      </c>
      <c r="C523" s="114" t="s">
        <v>320</v>
      </c>
      <c r="D523" s="114" t="s">
        <v>30</v>
      </c>
      <c r="E523" s="112" t="s">
        <v>81</v>
      </c>
      <c r="F523" s="115">
        <v>81</v>
      </c>
      <c r="G523" s="115">
        <v>144</v>
      </c>
      <c r="H523" s="425"/>
      <c r="I523" s="115">
        <v>1360</v>
      </c>
      <c r="J523" s="116"/>
      <c r="K523" s="270" t="s">
        <v>363</v>
      </c>
      <c r="L523" s="263" t="s">
        <v>213</v>
      </c>
      <c r="M523" s="239"/>
    </row>
    <row r="524" spans="1:13" ht="15.75" customHeight="1" x14ac:dyDescent="0.25">
      <c r="A524" s="390">
        <v>43377</v>
      </c>
      <c r="B524" s="382" t="s">
        <v>350</v>
      </c>
      <c r="C524" s="114" t="s">
        <v>320</v>
      </c>
      <c r="D524" s="114" t="s">
        <v>30</v>
      </c>
      <c r="E524" s="112" t="s">
        <v>81</v>
      </c>
      <c r="F524" s="115">
        <v>79</v>
      </c>
      <c r="G524" s="115">
        <v>180</v>
      </c>
      <c r="H524" s="424">
        <v>2610</v>
      </c>
      <c r="I524" s="115">
        <v>1631.25</v>
      </c>
      <c r="J524" s="116"/>
      <c r="K524" s="270" t="s">
        <v>363</v>
      </c>
      <c r="L524" s="263" t="s">
        <v>213</v>
      </c>
      <c r="M524" s="239"/>
    </row>
    <row r="525" spans="1:13" ht="15.75" customHeight="1" x14ac:dyDescent="0.25">
      <c r="A525" s="390">
        <v>43377</v>
      </c>
      <c r="B525" s="382" t="s">
        <v>350</v>
      </c>
      <c r="C525" s="114" t="s">
        <v>320</v>
      </c>
      <c r="D525" s="114" t="s">
        <v>30</v>
      </c>
      <c r="E525" s="112" t="s">
        <v>81</v>
      </c>
      <c r="F525" s="115">
        <v>82</v>
      </c>
      <c r="G525" s="115">
        <v>108</v>
      </c>
      <c r="H525" s="425"/>
      <c r="I525" s="115">
        <v>978.75</v>
      </c>
      <c r="J525" s="116"/>
      <c r="K525" s="270" t="s">
        <v>363</v>
      </c>
      <c r="L525" s="263" t="s">
        <v>213</v>
      </c>
      <c r="M525" s="239"/>
    </row>
    <row r="526" spans="1:13" ht="15.75" customHeight="1" x14ac:dyDescent="0.25">
      <c r="A526" s="390">
        <v>43377</v>
      </c>
      <c r="B526" s="382" t="s">
        <v>351</v>
      </c>
      <c r="C526" s="114" t="s">
        <v>320</v>
      </c>
      <c r="D526" s="114" t="s">
        <v>30</v>
      </c>
      <c r="E526" s="112" t="s">
        <v>81</v>
      </c>
      <c r="F526" s="115">
        <v>76</v>
      </c>
      <c r="G526" s="115">
        <v>144</v>
      </c>
      <c r="H526" s="424">
        <v>3010</v>
      </c>
      <c r="I526" s="115">
        <v>1505</v>
      </c>
      <c r="J526" s="116"/>
      <c r="K526" s="270" t="s">
        <v>363</v>
      </c>
      <c r="L526" s="263" t="s">
        <v>213</v>
      </c>
      <c r="M526" s="239"/>
    </row>
    <row r="527" spans="1:13" ht="15.75" customHeight="1" x14ac:dyDescent="0.25">
      <c r="A527" s="390">
        <v>43377</v>
      </c>
      <c r="B527" s="382" t="s">
        <v>351</v>
      </c>
      <c r="C527" s="114" t="s">
        <v>320</v>
      </c>
      <c r="D527" s="114" t="s">
        <v>30</v>
      </c>
      <c r="E527" s="112" t="s">
        <v>81</v>
      </c>
      <c r="F527" s="115">
        <v>81</v>
      </c>
      <c r="G527" s="115">
        <v>144</v>
      </c>
      <c r="H527" s="425"/>
      <c r="I527" s="115">
        <v>1505</v>
      </c>
      <c r="J527" s="116"/>
      <c r="K527" s="270" t="s">
        <v>363</v>
      </c>
      <c r="L527" s="263" t="s">
        <v>213</v>
      </c>
      <c r="M527" s="239"/>
    </row>
    <row r="528" spans="1:13" ht="15.75" customHeight="1" x14ac:dyDescent="0.25">
      <c r="A528" s="390">
        <v>43377</v>
      </c>
      <c r="B528" s="382" t="s">
        <v>352</v>
      </c>
      <c r="C528" s="114" t="s">
        <v>320</v>
      </c>
      <c r="D528" s="114" t="s">
        <v>30</v>
      </c>
      <c r="E528" s="112" t="s">
        <v>81</v>
      </c>
      <c r="F528" s="115">
        <v>79</v>
      </c>
      <c r="G528" s="115">
        <v>252</v>
      </c>
      <c r="H528" s="424">
        <v>2860</v>
      </c>
      <c r="I528" s="115">
        <v>2502.5</v>
      </c>
      <c r="J528" s="116"/>
      <c r="K528" s="270" t="s">
        <v>363</v>
      </c>
      <c r="L528" s="263" t="s">
        <v>213</v>
      </c>
      <c r="M528" s="239"/>
    </row>
    <row r="529" spans="1:13" ht="15.75" customHeight="1" x14ac:dyDescent="0.25">
      <c r="A529" s="390">
        <v>43377</v>
      </c>
      <c r="B529" s="382" t="s">
        <v>352</v>
      </c>
      <c r="C529" s="114" t="s">
        <v>320</v>
      </c>
      <c r="D529" s="114" t="s">
        <v>30</v>
      </c>
      <c r="E529" s="112" t="s">
        <v>81</v>
      </c>
      <c r="F529" s="115">
        <v>82</v>
      </c>
      <c r="G529" s="115">
        <v>36</v>
      </c>
      <c r="H529" s="425"/>
      <c r="I529" s="115">
        <v>157.5</v>
      </c>
      <c r="J529" s="116"/>
      <c r="K529" s="270" t="s">
        <v>363</v>
      </c>
      <c r="L529" s="263" t="s">
        <v>213</v>
      </c>
      <c r="M529" s="239"/>
    </row>
    <row r="530" spans="1:13" ht="15.75" customHeight="1" x14ac:dyDescent="0.25">
      <c r="A530" s="390">
        <v>43377</v>
      </c>
      <c r="B530" s="212" t="s">
        <v>353</v>
      </c>
      <c r="C530" s="114" t="s">
        <v>320</v>
      </c>
      <c r="D530" s="114" t="s">
        <v>30</v>
      </c>
      <c r="E530" s="112" t="s">
        <v>81</v>
      </c>
      <c r="F530" s="115">
        <v>82</v>
      </c>
      <c r="G530" s="115">
        <v>288</v>
      </c>
      <c r="H530" s="117">
        <v>2910</v>
      </c>
      <c r="I530" s="115">
        <v>2910</v>
      </c>
      <c r="J530" s="116"/>
      <c r="K530" s="270" t="s">
        <v>363</v>
      </c>
      <c r="L530" s="263" t="s">
        <v>213</v>
      </c>
      <c r="M530" s="239"/>
    </row>
    <row r="531" spans="1:13" ht="15.75" customHeight="1" x14ac:dyDescent="0.25">
      <c r="A531" s="390">
        <v>43377</v>
      </c>
      <c r="B531" s="382" t="s">
        <v>354</v>
      </c>
      <c r="C531" s="114" t="s">
        <v>320</v>
      </c>
      <c r="D531" s="114" t="s">
        <v>30</v>
      </c>
      <c r="E531" s="112" t="s">
        <v>81</v>
      </c>
      <c r="F531" s="115">
        <v>79</v>
      </c>
      <c r="G531" s="115">
        <v>252</v>
      </c>
      <c r="H531" s="424">
        <v>2650</v>
      </c>
      <c r="I531" s="115">
        <v>231.75</v>
      </c>
      <c r="J531" s="116"/>
      <c r="K531" s="270" t="s">
        <v>363</v>
      </c>
      <c r="L531" s="263" t="s">
        <v>213</v>
      </c>
      <c r="M531" s="239"/>
    </row>
    <row r="532" spans="1:13" ht="15.75" customHeight="1" x14ac:dyDescent="0.25">
      <c r="A532" s="390">
        <v>43377</v>
      </c>
      <c r="B532" s="382" t="s">
        <v>354</v>
      </c>
      <c r="C532" s="114" t="s">
        <v>320</v>
      </c>
      <c r="D532" s="114" t="s">
        <v>30</v>
      </c>
      <c r="E532" s="112" t="s">
        <v>81</v>
      </c>
      <c r="F532" s="115">
        <v>82</v>
      </c>
      <c r="G532" s="115">
        <v>36</v>
      </c>
      <c r="H532" s="425"/>
      <c r="I532" s="115">
        <v>331.25</v>
      </c>
      <c r="J532" s="116"/>
      <c r="K532" s="270" t="s">
        <v>363</v>
      </c>
      <c r="L532" s="263" t="s">
        <v>213</v>
      </c>
      <c r="M532" s="239"/>
    </row>
    <row r="533" spans="1:13" ht="15.75" customHeight="1" x14ac:dyDescent="0.3">
      <c r="A533" s="390">
        <v>43377</v>
      </c>
      <c r="B533" s="207" t="s">
        <v>355</v>
      </c>
      <c r="C533" s="73" t="s">
        <v>320</v>
      </c>
      <c r="D533" s="73" t="s">
        <v>30</v>
      </c>
      <c r="E533" s="44" t="s">
        <v>81</v>
      </c>
      <c r="F533" s="102">
        <v>85</v>
      </c>
      <c r="G533" s="102">
        <v>288</v>
      </c>
      <c r="H533" s="103">
        <v>2660</v>
      </c>
      <c r="I533" s="102">
        <v>2660</v>
      </c>
      <c r="J533" s="101"/>
      <c r="K533" s="333"/>
      <c r="L533" s="334"/>
    </row>
    <row r="534" spans="1:13" ht="15.75" customHeight="1" x14ac:dyDescent="0.3">
      <c r="A534" s="390">
        <v>43377</v>
      </c>
      <c r="B534" s="208" t="s">
        <v>356</v>
      </c>
      <c r="C534" s="73" t="s">
        <v>320</v>
      </c>
      <c r="D534" s="73" t="s">
        <v>30</v>
      </c>
      <c r="E534" s="44" t="s">
        <v>81</v>
      </c>
      <c r="F534" s="102">
        <v>81</v>
      </c>
      <c r="G534" s="102">
        <v>180</v>
      </c>
      <c r="H534" s="421">
        <v>3500</v>
      </c>
      <c r="I534" s="102">
        <v>1750</v>
      </c>
      <c r="J534" s="101"/>
      <c r="K534" s="333"/>
      <c r="L534" s="334"/>
    </row>
    <row r="535" spans="1:13" ht="15.75" customHeight="1" x14ac:dyDescent="0.3">
      <c r="A535" s="390">
        <v>43377</v>
      </c>
      <c r="B535" s="208" t="s">
        <v>356</v>
      </c>
      <c r="C535" s="73" t="s">
        <v>320</v>
      </c>
      <c r="D535" s="73" t="s">
        <v>30</v>
      </c>
      <c r="E535" s="44" t="s">
        <v>81</v>
      </c>
      <c r="F535" s="102">
        <v>85</v>
      </c>
      <c r="G535" s="102">
        <v>180</v>
      </c>
      <c r="H535" s="423"/>
      <c r="I535" s="102">
        <v>1750</v>
      </c>
      <c r="J535" s="101"/>
      <c r="K535" s="333"/>
      <c r="L535" s="334"/>
    </row>
    <row r="536" spans="1:13" ht="15.75" customHeight="1" x14ac:dyDescent="0.3">
      <c r="A536" s="390">
        <v>43377</v>
      </c>
      <c r="B536" s="208" t="s">
        <v>357</v>
      </c>
      <c r="C536" s="73" t="s">
        <v>320</v>
      </c>
      <c r="D536" s="73" t="s">
        <v>30</v>
      </c>
      <c r="E536" s="44" t="s">
        <v>81</v>
      </c>
      <c r="F536" s="102">
        <v>76</v>
      </c>
      <c r="G536" s="102">
        <v>144</v>
      </c>
      <c r="H536" s="421">
        <v>2550</v>
      </c>
      <c r="I536" s="102">
        <v>1275</v>
      </c>
      <c r="J536" s="101"/>
      <c r="K536" s="333"/>
      <c r="L536" s="334"/>
    </row>
    <row r="537" spans="1:13" ht="15.75" customHeight="1" x14ac:dyDescent="0.3">
      <c r="A537" s="390">
        <v>43377</v>
      </c>
      <c r="B537" s="208" t="s">
        <v>357</v>
      </c>
      <c r="C537" s="73" t="s">
        <v>320</v>
      </c>
      <c r="D537" s="73" t="s">
        <v>30</v>
      </c>
      <c r="E537" s="44" t="s">
        <v>81</v>
      </c>
      <c r="F537" s="102">
        <v>79</v>
      </c>
      <c r="G537" s="102">
        <v>144</v>
      </c>
      <c r="H537" s="423"/>
      <c r="I537" s="102">
        <v>1275</v>
      </c>
      <c r="J537" s="101"/>
      <c r="K537" s="333"/>
      <c r="L537" s="334"/>
    </row>
    <row r="538" spans="1:13" ht="15.75" customHeight="1" x14ac:dyDescent="0.3">
      <c r="A538" s="390">
        <v>43377</v>
      </c>
      <c r="B538" s="208" t="s">
        <v>358</v>
      </c>
      <c r="C538" s="73" t="s">
        <v>320</v>
      </c>
      <c r="D538" s="73" t="s">
        <v>30</v>
      </c>
      <c r="E538" s="44" t="s">
        <v>81</v>
      </c>
      <c r="F538" s="102">
        <v>79</v>
      </c>
      <c r="G538" s="102">
        <v>108</v>
      </c>
      <c r="H538" s="421">
        <v>3400</v>
      </c>
      <c r="I538" s="102">
        <v>1020</v>
      </c>
      <c r="J538" s="101"/>
      <c r="K538" s="333"/>
      <c r="L538" s="334"/>
    </row>
    <row r="539" spans="1:13" ht="15.75" customHeight="1" x14ac:dyDescent="0.3">
      <c r="A539" s="390">
        <v>43377</v>
      </c>
      <c r="B539" s="208" t="s">
        <v>358</v>
      </c>
      <c r="C539" s="73" t="s">
        <v>320</v>
      </c>
      <c r="D539" s="73" t="s">
        <v>30</v>
      </c>
      <c r="E539" s="44" t="s">
        <v>81</v>
      </c>
      <c r="F539" s="102">
        <v>81</v>
      </c>
      <c r="G539" s="102">
        <v>252</v>
      </c>
      <c r="H539" s="423"/>
      <c r="I539" s="102">
        <v>2380</v>
      </c>
      <c r="J539" s="101"/>
      <c r="K539" s="333"/>
      <c r="L539" s="334"/>
    </row>
    <row r="540" spans="1:13" ht="15.75" customHeight="1" x14ac:dyDescent="0.3">
      <c r="A540" s="390">
        <v>43377</v>
      </c>
      <c r="B540" s="208" t="s">
        <v>359</v>
      </c>
      <c r="C540" s="73" t="s">
        <v>320</v>
      </c>
      <c r="D540" s="73" t="s">
        <v>30</v>
      </c>
      <c r="E540" s="44" t="s">
        <v>81</v>
      </c>
      <c r="F540" s="102">
        <v>81</v>
      </c>
      <c r="G540" s="102">
        <v>180</v>
      </c>
      <c r="H540" s="421">
        <v>2680</v>
      </c>
      <c r="I540" s="102">
        <v>1675</v>
      </c>
      <c r="J540" s="101"/>
      <c r="K540" s="333"/>
      <c r="L540" s="334"/>
    </row>
    <row r="541" spans="1:13" ht="15.75" customHeight="1" x14ac:dyDescent="0.3">
      <c r="A541" s="390">
        <v>43377</v>
      </c>
      <c r="B541" s="208" t="s">
        <v>359</v>
      </c>
      <c r="C541" s="73" t="s">
        <v>320</v>
      </c>
      <c r="D541" s="73" t="s">
        <v>30</v>
      </c>
      <c r="E541" s="44" t="s">
        <v>81</v>
      </c>
      <c r="F541" s="102">
        <v>82</v>
      </c>
      <c r="G541" s="102">
        <v>108</v>
      </c>
      <c r="H541" s="423"/>
      <c r="I541" s="102">
        <v>1005</v>
      </c>
      <c r="J541" s="101"/>
      <c r="K541" s="333"/>
      <c r="L541" s="334"/>
    </row>
    <row r="542" spans="1:13" ht="15.75" customHeight="1" x14ac:dyDescent="0.3">
      <c r="A542" s="390">
        <v>43377</v>
      </c>
      <c r="B542" s="208" t="s">
        <v>360</v>
      </c>
      <c r="C542" s="73" t="s">
        <v>320</v>
      </c>
      <c r="D542" s="73" t="s">
        <v>30</v>
      </c>
      <c r="E542" s="44" t="s">
        <v>81</v>
      </c>
      <c r="F542" s="102">
        <v>81</v>
      </c>
      <c r="G542" s="102">
        <v>72</v>
      </c>
      <c r="H542" s="421">
        <f>SUM(I542:I544)</f>
        <v>2780</v>
      </c>
      <c r="I542" s="102">
        <v>695</v>
      </c>
      <c r="J542" s="101"/>
      <c r="K542" s="333"/>
      <c r="L542" s="334"/>
    </row>
    <row r="543" spans="1:13" ht="15.75" customHeight="1" x14ac:dyDescent="0.3">
      <c r="A543" s="390">
        <v>43377</v>
      </c>
      <c r="B543" s="208" t="s">
        <v>360</v>
      </c>
      <c r="C543" s="73" t="s">
        <v>320</v>
      </c>
      <c r="D543" s="73" t="s">
        <v>30</v>
      </c>
      <c r="E543" s="44" t="s">
        <v>81</v>
      </c>
      <c r="F543" s="102">
        <v>82</v>
      </c>
      <c r="G543" s="102">
        <v>108</v>
      </c>
      <c r="H543" s="422"/>
      <c r="I543" s="102">
        <v>1042.5</v>
      </c>
      <c r="J543" s="101"/>
      <c r="K543" s="333"/>
      <c r="L543" s="334"/>
    </row>
    <row r="544" spans="1:13" ht="15.75" customHeight="1" x14ac:dyDescent="0.3">
      <c r="A544" s="390">
        <v>43377</v>
      </c>
      <c r="B544" s="208" t="s">
        <v>360</v>
      </c>
      <c r="C544" s="73" t="s">
        <v>320</v>
      </c>
      <c r="D544" s="73" t="s">
        <v>30</v>
      </c>
      <c r="E544" s="44" t="s">
        <v>81</v>
      </c>
      <c r="F544" s="102">
        <v>85</v>
      </c>
      <c r="G544" s="102">
        <v>108</v>
      </c>
      <c r="H544" s="423"/>
      <c r="I544" s="102">
        <v>1042.5</v>
      </c>
      <c r="J544" s="101"/>
      <c r="K544" s="333"/>
      <c r="L544" s="334"/>
    </row>
    <row r="545" spans="1:13" ht="15.75" customHeight="1" x14ac:dyDescent="0.3">
      <c r="A545" s="390">
        <v>43377</v>
      </c>
      <c r="B545" s="208" t="s">
        <v>361</v>
      </c>
      <c r="C545" s="73" t="s">
        <v>320</v>
      </c>
      <c r="D545" s="73" t="s">
        <v>30</v>
      </c>
      <c r="E545" s="44" t="s">
        <v>81</v>
      </c>
      <c r="F545" s="102">
        <v>76</v>
      </c>
      <c r="G545" s="102">
        <v>108</v>
      </c>
      <c r="H545" s="421">
        <v>2740</v>
      </c>
      <c r="I545" s="102">
        <v>1027.5</v>
      </c>
      <c r="J545" s="101"/>
      <c r="K545" s="333"/>
      <c r="L545" s="334"/>
    </row>
    <row r="546" spans="1:13" ht="15.75" customHeight="1" x14ac:dyDescent="0.3">
      <c r="A546" s="390">
        <v>43377</v>
      </c>
      <c r="B546" s="208" t="s">
        <v>361</v>
      </c>
      <c r="C546" s="73" t="s">
        <v>320</v>
      </c>
      <c r="D546" s="73" t="s">
        <v>30</v>
      </c>
      <c r="E546" s="44" t="s">
        <v>81</v>
      </c>
      <c r="F546" s="102">
        <v>79</v>
      </c>
      <c r="G546" s="102">
        <v>72</v>
      </c>
      <c r="H546" s="422"/>
      <c r="I546" s="102">
        <v>685</v>
      </c>
      <c r="J546" s="101"/>
      <c r="K546" s="333"/>
      <c r="L546" s="334"/>
    </row>
    <row r="547" spans="1:13" ht="15.75" customHeight="1" x14ac:dyDescent="0.3">
      <c r="A547" s="390">
        <v>43377</v>
      </c>
      <c r="B547" s="208" t="s">
        <v>361</v>
      </c>
      <c r="C547" s="73" t="s">
        <v>320</v>
      </c>
      <c r="D547" s="73" t="s">
        <v>30</v>
      </c>
      <c r="E547" s="44" t="s">
        <v>81</v>
      </c>
      <c r="F547" s="102">
        <v>85</v>
      </c>
      <c r="G547" s="102">
        <v>108</v>
      </c>
      <c r="H547" s="423"/>
      <c r="I547" s="102">
        <v>1027.5</v>
      </c>
      <c r="J547" s="101"/>
      <c r="K547" s="333"/>
      <c r="L547" s="334"/>
    </row>
    <row r="548" spans="1:13" ht="15.75" customHeight="1" x14ac:dyDescent="0.3">
      <c r="A548" s="390">
        <v>43377</v>
      </c>
      <c r="B548" s="208" t="s">
        <v>362</v>
      </c>
      <c r="C548" s="73" t="s">
        <v>320</v>
      </c>
      <c r="D548" s="73" t="s">
        <v>30</v>
      </c>
      <c r="E548" s="44" t="s">
        <v>81</v>
      </c>
      <c r="F548" s="102">
        <v>76</v>
      </c>
      <c r="G548" s="102">
        <v>72</v>
      </c>
      <c r="H548" s="421">
        <v>2560</v>
      </c>
      <c r="I548" s="102">
        <v>640</v>
      </c>
      <c r="J548" s="101"/>
      <c r="K548" s="333"/>
      <c r="L548" s="334"/>
    </row>
    <row r="549" spans="1:13" ht="15.75" customHeight="1" x14ac:dyDescent="0.3">
      <c r="A549" s="390">
        <v>43377</v>
      </c>
      <c r="B549" s="208" t="s">
        <v>362</v>
      </c>
      <c r="C549" s="73" t="s">
        <v>320</v>
      </c>
      <c r="D549" s="73" t="s">
        <v>30</v>
      </c>
      <c r="E549" s="44" t="s">
        <v>81</v>
      </c>
      <c r="F549" s="102">
        <v>79</v>
      </c>
      <c r="G549" s="102">
        <v>216</v>
      </c>
      <c r="H549" s="423"/>
      <c r="I549" s="102">
        <v>1920</v>
      </c>
      <c r="J549" s="101"/>
      <c r="K549" s="333"/>
      <c r="L549" s="334"/>
    </row>
    <row r="550" spans="1:13" ht="15.75" customHeight="1" x14ac:dyDescent="0.3">
      <c r="A550" s="390">
        <v>43377</v>
      </c>
      <c r="B550" s="207" t="s">
        <v>370</v>
      </c>
      <c r="C550" s="73" t="s">
        <v>320</v>
      </c>
      <c r="D550" s="73" t="s">
        <v>30</v>
      </c>
      <c r="E550" s="44" t="s">
        <v>81</v>
      </c>
      <c r="F550" s="102">
        <v>76</v>
      </c>
      <c r="G550" s="102">
        <v>36</v>
      </c>
      <c r="H550" s="421">
        <v>1030</v>
      </c>
      <c r="I550" s="102">
        <v>343.3</v>
      </c>
      <c r="J550" s="101"/>
      <c r="K550" s="333"/>
      <c r="L550" s="334"/>
    </row>
    <row r="551" spans="1:13" ht="15.75" customHeight="1" x14ac:dyDescent="0.3">
      <c r="A551" s="390">
        <v>43377</v>
      </c>
      <c r="B551" s="207" t="s">
        <v>370</v>
      </c>
      <c r="C551" s="73" t="s">
        <v>320</v>
      </c>
      <c r="D551" s="73" t="s">
        <v>30</v>
      </c>
      <c r="E551" s="44" t="s">
        <v>81</v>
      </c>
      <c r="F551" s="102">
        <v>79</v>
      </c>
      <c r="G551" s="102">
        <v>36</v>
      </c>
      <c r="H551" s="422"/>
      <c r="I551" s="102">
        <v>343.3</v>
      </c>
      <c r="J551" s="101"/>
      <c r="K551" s="333"/>
      <c r="L551" s="334"/>
    </row>
    <row r="552" spans="1:13" ht="15.75" customHeight="1" x14ac:dyDescent="0.3">
      <c r="A552" s="390">
        <v>43377</v>
      </c>
      <c r="B552" s="207" t="s">
        <v>370</v>
      </c>
      <c r="C552" s="73" t="s">
        <v>320</v>
      </c>
      <c r="D552" s="73" t="s">
        <v>30</v>
      </c>
      <c r="E552" s="73" t="s">
        <v>81</v>
      </c>
      <c r="F552" s="258">
        <v>85</v>
      </c>
      <c r="G552" s="258">
        <v>36</v>
      </c>
      <c r="H552" s="422"/>
      <c r="I552" s="258">
        <v>343.4</v>
      </c>
      <c r="J552" s="259"/>
      <c r="K552" s="341"/>
      <c r="L552" s="342"/>
      <c r="M552" s="259"/>
    </row>
    <row r="553" spans="1:13" ht="15.75" customHeight="1" x14ac:dyDescent="0.3">
      <c r="A553" s="390">
        <v>43378</v>
      </c>
      <c r="B553" s="46" t="s">
        <v>371</v>
      </c>
      <c r="C553" s="44" t="s">
        <v>31</v>
      </c>
      <c r="D553" s="44" t="s">
        <v>30</v>
      </c>
      <c r="E553" s="44" t="s">
        <v>81</v>
      </c>
      <c r="F553" s="44">
        <v>79</v>
      </c>
      <c r="G553" s="44">
        <v>216</v>
      </c>
      <c r="H553" s="420">
        <v>2890</v>
      </c>
      <c r="I553" s="44">
        <v>2167.5</v>
      </c>
      <c r="J553" s="101"/>
      <c r="K553" s="333"/>
      <c r="L553" s="333"/>
    </row>
    <row r="554" spans="1:13" ht="15.75" customHeight="1" x14ac:dyDescent="0.3">
      <c r="A554" s="390">
        <v>43378</v>
      </c>
      <c r="B554" s="46" t="s">
        <v>371</v>
      </c>
      <c r="C554" s="44" t="s">
        <v>31</v>
      </c>
      <c r="D554" s="44" t="s">
        <v>30</v>
      </c>
      <c r="E554" s="44" t="s">
        <v>81</v>
      </c>
      <c r="F554" s="44">
        <v>81</v>
      </c>
      <c r="G554" s="44">
        <v>72</v>
      </c>
      <c r="H554" s="420"/>
      <c r="I554" s="44">
        <v>722.5</v>
      </c>
      <c r="J554" s="101"/>
      <c r="K554" s="333"/>
      <c r="L554" s="333"/>
    </row>
    <row r="555" spans="1:13" ht="15.75" customHeight="1" x14ac:dyDescent="0.3">
      <c r="A555" s="390">
        <v>43378</v>
      </c>
      <c r="B555" s="260" t="s">
        <v>372</v>
      </c>
      <c r="C555" s="44" t="s">
        <v>31</v>
      </c>
      <c r="D555" s="44" t="s">
        <v>30</v>
      </c>
      <c r="E555" s="44" t="s">
        <v>81</v>
      </c>
      <c r="F555" s="44">
        <v>81</v>
      </c>
      <c r="G555" s="44">
        <v>360</v>
      </c>
      <c r="H555" s="45">
        <v>3500</v>
      </c>
      <c r="I555" s="44">
        <v>3500</v>
      </c>
      <c r="J555" s="101"/>
      <c r="K555" s="333"/>
      <c r="L555" s="333"/>
    </row>
    <row r="556" spans="1:13" ht="15.75" customHeight="1" x14ac:dyDescent="0.3">
      <c r="A556" s="390">
        <v>43378</v>
      </c>
      <c r="B556" s="46" t="s">
        <v>373</v>
      </c>
      <c r="C556" s="44" t="s">
        <v>31</v>
      </c>
      <c r="D556" s="44" t="s">
        <v>30</v>
      </c>
      <c r="E556" s="44" t="s">
        <v>81</v>
      </c>
      <c r="F556" s="44">
        <v>81</v>
      </c>
      <c r="G556" s="44">
        <v>72</v>
      </c>
      <c r="H556" s="420">
        <v>2740</v>
      </c>
      <c r="I556" s="44">
        <v>685</v>
      </c>
      <c r="J556" s="101"/>
      <c r="K556" s="333"/>
      <c r="L556" s="333"/>
    </row>
    <row r="557" spans="1:13" ht="15.75" customHeight="1" x14ac:dyDescent="0.3">
      <c r="A557" s="390">
        <v>43378</v>
      </c>
      <c r="B557" s="46" t="s">
        <v>373</v>
      </c>
      <c r="C557" s="44" t="s">
        <v>31</v>
      </c>
      <c r="D557" s="44" t="s">
        <v>30</v>
      </c>
      <c r="E557" s="44" t="s">
        <v>81</v>
      </c>
      <c r="F557" s="44">
        <v>82</v>
      </c>
      <c r="G557" s="44">
        <v>216</v>
      </c>
      <c r="H557" s="420"/>
      <c r="I557" s="44">
        <v>2055</v>
      </c>
      <c r="J557" s="101"/>
      <c r="K557" s="333"/>
      <c r="L557" s="333"/>
    </row>
    <row r="558" spans="1:13" ht="15.75" customHeight="1" x14ac:dyDescent="0.3">
      <c r="A558" s="390">
        <v>43378</v>
      </c>
      <c r="B558" s="46" t="s">
        <v>374</v>
      </c>
      <c r="C558" s="44" t="s">
        <v>31</v>
      </c>
      <c r="D558" s="44" t="s">
        <v>30</v>
      </c>
      <c r="E558" s="44" t="s">
        <v>81</v>
      </c>
      <c r="F558" s="44">
        <v>76</v>
      </c>
      <c r="G558" s="44">
        <v>108</v>
      </c>
      <c r="H558" s="420">
        <v>3430</v>
      </c>
      <c r="I558" s="44">
        <v>1029</v>
      </c>
      <c r="J558" s="101"/>
      <c r="K558" s="333"/>
      <c r="L558" s="333"/>
    </row>
    <row r="559" spans="1:13" ht="15.75" customHeight="1" x14ac:dyDescent="0.3">
      <c r="A559" s="390">
        <v>43378</v>
      </c>
      <c r="B559" s="46" t="s">
        <v>374</v>
      </c>
      <c r="C559" s="44" t="s">
        <v>31</v>
      </c>
      <c r="D559" s="44" t="s">
        <v>30</v>
      </c>
      <c r="E559" s="44" t="s">
        <v>81</v>
      </c>
      <c r="F559" s="44">
        <v>79</v>
      </c>
      <c r="G559" s="44">
        <v>108</v>
      </c>
      <c r="H559" s="420"/>
      <c r="I559" s="44">
        <v>1029</v>
      </c>
      <c r="J559" s="101"/>
      <c r="K559" s="333"/>
      <c r="L559" s="333"/>
    </row>
    <row r="560" spans="1:13" ht="15.75" customHeight="1" x14ac:dyDescent="0.3">
      <c r="A560" s="390">
        <v>43378</v>
      </c>
      <c r="B560" s="46" t="s">
        <v>374</v>
      </c>
      <c r="C560" s="44" t="s">
        <v>31</v>
      </c>
      <c r="D560" s="44" t="s">
        <v>30</v>
      </c>
      <c r="E560" s="44" t="s">
        <v>81</v>
      </c>
      <c r="F560" s="44">
        <v>82</v>
      </c>
      <c r="G560" s="44">
        <v>144</v>
      </c>
      <c r="H560" s="420"/>
      <c r="I560" s="44">
        <v>1372</v>
      </c>
      <c r="J560" s="101"/>
      <c r="K560" s="333"/>
      <c r="L560" s="333"/>
    </row>
    <row r="561" spans="1:13" ht="15.75" customHeight="1" x14ac:dyDescent="0.3">
      <c r="A561" s="390">
        <v>43378</v>
      </c>
      <c r="B561" s="260" t="s">
        <v>375</v>
      </c>
      <c r="C561" s="44" t="s">
        <v>31</v>
      </c>
      <c r="D561" s="44" t="s">
        <v>30</v>
      </c>
      <c r="E561" s="44" t="s">
        <v>81</v>
      </c>
      <c r="F561" s="44">
        <v>82</v>
      </c>
      <c r="G561" s="44">
        <v>288</v>
      </c>
      <c r="H561" s="45">
        <v>2880</v>
      </c>
      <c r="I561" s="44">
        <v>2880</v>
      </c>
      <c r="J561" s="101"/>
      <c r="K561" s="333"/>
      <c r="L561" s="333"/>
    </row>
    <row r="562" spans="1:13" ht="15.75" customHeight="1" x14ac:dyDescent="0.3">
      <c r="A562" s="390">
        <v>43378</v>
      </c>
      <c r="B562" s="46" t="s">
        <v>376</v>
      </c>
      <c r="C562" s="44" t="s">
        <v>31</v>
      </c>
      <c r="D562" s="44" t="s">
        <v>30</v>
      </c>
      <c r="E562" s="44" t="s">
        <v>81</v>
      </c>
      <c r="F562" s="44">
        <v>79</v>
      </c>
      <c r="G562" s="44">
        <v>108</v>
      </c>
      <c r="H562" s="420">
        <v>3040</v>
      </c>
      <c r="I562" s="44">
        <v>1140</v>
      </c>
      <c r="J562" s="101"/>
      <c r="K562" s="333"/>
      <c r="L562" s="333"/>
    </row>
    <row r="563" spans="1:13" ht="15.75" customHeight="1" x14ac:dyDescent="0.3">
      <c r="A563" s="390">
        <v>43378</v>
      </c>
      <c r="B563" s="46" t="s">
        <v>376</v>
      </c>
      <c r="C563" s="44" t="s">
        <v>31</v>
      </c>
      <c r="D563" s="44" t="s">
        <v>30</v>
      </c>
      <c r="E563" s="44" t="s">
        <v>81</v>
      </c>
      <c r="F563" s="44">
        <v>82</v>
      </c>
      <c r="G563" s="44">
        <v>180</v>
      </c>
      <c r="H563" s="420"/>
      <c r="I563" s="44">
        <v>1900</v>
      </c>
      <c r="J563" s="101"/>
      <c r="K563" s="333"/>
      <c r="L563" s="333"/>
    </row>
    <row r="564" spans="1:13" ht="15.75" customHeight="1" x14ac:dyDescent="0.3">
      <c r="A564" s="390">
        <v>43378</v>
      </c>
      <c r="B564" s="260" t="s">
        <v>377</v>
      </c>
      <c r="C564" s="44" t="s">
        <v>31</v>
      </c>
      <c r="D564" s="44" t="s">
        <v>30</v>
      </c>
      <c r="E564" s="44" t="s">
        <v>81</v>
      </c>
      <c r="F564" s="44">
        <v>81</v>
      </c>
      <c r="G564" s="44">
        <v>288</v>
      </c>
      <c r="H564" s="45">
        <v>2630</v>
      </c>
      <c r="I564" s="44">
        <v>2630</v>
      </c>
      <c r="J564" s="101"/>
      <c r="K564" s="333"/>
      <c r="L564" s="333"/>
    </row>
    <row r="565" spans="1:13" ht="15.75" customHeight="1" x14ac:dyDescent="0.3">
      <c r="A565" s="390">
        <v>43378</v>
      </c>
      <c r="B565" s="46" t="s">
        <v>378</v>
      </c>
      <c r="C565" s="44" t="s">
        <v>31</v>
      </c>
      <c r="D565" s="44" t="s">
        <v>30</v>
      </c>
      <c r="E565" s="44" t="s">
        <v>81</v>
      </c>
      <c r="F565" s="44">
        <v>79</v>
      </c>
      <c r="G565" s="44">
        <v>216</v>
      </c>
      <c r="H565" s="420">
        <v>3200</v>
      </c>
      <c r="I565" s="44">
        <v>1920</v>
      </c>
      <c r="J565" s="101"/>
      <c r="K565" s="333"/>
      <c r="L565" s="333"/>
    </row>
    <row r="566" spans="1:13" ht="15.75" customHeight="1" x14ac:dyDescent="0.3">
      <c r="A566" s="390">
        <v>43378</v>
      </c>
      <c r="B566" s="46" t="s">
        <v>378</v>
      </c>
      <c r="C566" s="44" t="s">
        <v>31</v>
      </c>
      <c r="D566" s="44" t="s">
        <v>30</v>
      </c>
      <c r="E566" s="44" t="s">
        <v>81</v>
      </c>
      <c r="F566" s="48">
        <v>81</v>
      </c>
      <c r="G566" s="48">
        <v>144</v>
      </c>
      <c r="H566" s="420"/>
      <c r="I566" s="48">
        <v>1280</v>
      </c>
      <c r="J566" s="101"/>
      <c r="K566" s="333"/>
      <c r="L566" s="333"/>
    </row>
    <row r="567" spans="1:13" ht="15.75" customHeight="1" x14ac:dyDescent="0.3">
      <c r="A567" s="390">
        <v>43378</v>
      </c>
      <c r="B567" s="260" t="s">
        <v>379</v>
      </c>
      <c r="C567" s="44" t="s">
        <v>31</v>
      </c>
      <c r="D567" s="44" t="s">
        <v>30</v>
      </c>
      <c r="E567" s="44" t="s">
        <v>81</v>
      </c>
      <c r="F567" s="48">
        <v>81</v>
      </c>
      <c r="G567" s="48">
        <v>288</v>
      </c>
      <c r="H567" s="38">
        <v>2690</v>
      </c>
      <c r="I567" s="48">
        <v>2690</v>
      </c>
      <c r="J567" s="101"/>
      <c r="K567" s="333"/>
      <c r="L567" s="333"/>
    </row>
    <row r="568" spans="1:13" ht="15.75" customHeight="1" x14ac:dyDescent="0.3">
      <c r="A568" s="390">
        <v>43378</v>
      </c>
      <c r="B568" s="260" t="s">
        <v>380</v>
      </c>
      <c r="C568" s="44" t="s">
        <v>31</v>
      </c>
      <c r="D568" s="44" t="s">
        <v>30</v>
      </c>
      <c r="E568" s="44" t="s">
        <v>81</v>
      </c>
      <c r="F568" s="102">
        <v>82</v>
      </c>
      <c r="G568" s="102">
        <v>288</v>
      </c>
      <c r="H568" s="246">
        <v>2690</v>
      </c>
      <c r="I568" s="102">
        <v>2690</v>
      </c>
      <c r="J568" s="101"/>
      <c r="K568" s="333"/>
      <c r="L568" s="333"/>
    </row>
    <row r="569" spans="1:13" ht="15.75" customHeight="1" x14ac:dyDescent="0.3">
      <c r="A569" s="390">
        <v>43378</v>
      </c>
      <c r="B569" s="260" t="s">
        <v>381</v>
      </c>
      <c r="C569" s="44" t="s">
        <v>31</v>
      </c>
      <c r="D569" s="44" t="s">
        <v>30</v>
      </c>
      <c r="E569" s="44" t="s">
        <v>81</v>
      </c>
      <c r="F569" s="102">
        <v>82</v>
      </c>
      <c r="G569" s="102">
        <v>288</v>
      </c>
      <c r="H569" s="246">
        <v>2650</v>
      </c>
      <c r="I569" s="102">
        <v>2650</v>
      </c>
      <c r="J569" s="101"/>
      <c r="K569" s="333"/>
      <c r="L569" s="333"/>
    </row>
    <row r="570" spans="1:13" ht="15.75" customHeight="1" x14ac:dyDescent="0.3">
      <c r="A570" s="390">
        <v>43378</v>
      </c>
      <c r="B570" s="46" t="s">
        <v>382</v>
      </c>
      <c r="C570" s="44" t="s">
        <v>31</v>
      </c>
      <c r="D570" s="44" t="s">
        <v>30</v>
      </c>
      <c r="E570" s="44" t="s">
        <v>81</v>
      </c>
      <c r="F570" s="102">
        <v>79</v>
      </c>
      <c r="G570" s="102">
        <v>144</v>
      </c>
      <c r="H570" s="418">
        <v>3480</v>
      </c>
      <c r="I570" s="102">
        <v>1392</v>
      </c>
      <c r="J570" s="101"/>
      <c r="K570" s="333"/>
      <c r="L570" s="333"/>
    </row>
    <row r="571" spans="1:13" ht="15.75" customHeight="1" x14ac:dyDescent="0.3">
      <c r="A571" s="390">
        <v>43378</v>
      </c>
      <c r="B571" s="46" t="s">
        <v>382</v>
      </c>
      <c r="C571" s="44" t="s">
        <v>31</v>
      </c>
      <c r="D571" s="44" t="s">
        <v>30</v>
      </c>
      <c r="E571" s="44" t="s">
        <v>81</v>
      </c>
      <c r="F571" s="102">
        <v>81</v>
      </c>
      <c r="G571" s="102">
        <v>216</v>
      </c>
      <c r="H571" s="418"/>
      <c r="I571" s="102">
        <v>2088</v>
      </c>
      <c r="J571" s="101"/>
      <c r="K571" s="333"/>
      <c r="L571" s="333"/>
    </row>
    <row r="572" spans="1:13" ht="15.75" customHeight="1" x14ac:dyDescent="0.3">
      <c r="A572" s="390">
        <v>43378</v>
      </c>
      <c r="B572" s="261" t="s">
        <v>383</v>
      </c>
      <c r="C572" s="253" t="s">
        <v>31</v>
      </c>
      <c r="D572" s="253" t="s">
        <v>30</v>
      </c>
      <c r="E572" s="253" t="s">
        <v>81</v>
      </c>
      <c r="F572" s="254">
        <v>81</v>
      </c>
      <c r="G572" s="254">
        <v>288</v>
      </c>
      <c r="H572" s="252">
        <v>2540</v>
      </c>
      <c r="I572" s="254">
        <v>2540</v>
      </c>
      <c r="J572" s="255"/>
      <c r="K572" s="314" t="s">
        <v>441</v>
      </c>
      <c r="L572" s="343"/>
      <c r="M572" s="255"/>
    </row>
    <row r="573" spans="1:13" ht="15.75" customHeight="1" x14ac:dyDescent="0.3">
      <c r="A573" s="390">
        <v>43378</v>
      </c>
      <c r="B573" s="383" t="s">
        <v>384</v>
      </c>
      <c r="C573" s="253" t="s">
        <v>31</v>
      </c>
      <c r="D573" s="253" t="s">
        <v>30</v>
      </c>
      <c r="E573" s="253" t="s">
        <v>81</v>
      </c>
      <c r="F573" s="254">
        <v>79</v>
      </c>
      <c r="G573" s="254">
        <v>144</v>
      </c>
      <c r="H573" s="419">
        <v>3310</v>
      </c>
      <c r="I573" s="254">
        <v>1324</v>
      </c>
      <c r="J573" s="255"/>
      <c r="K573" s="314" t="s">
        <v>441</v>
      </c>
      <c r="L573" s="343"/>
      <c r="M573" s="255"/>
    </row>
    <row r="574" spans="1:13" ht="15.75" customHeight="1" x14ac:dyDescent="0.3">
      <c r="A574" s="390">
        <v>43378</v>
      </c>
      <c r="B574" s="383" t="s">
        <v>384</v>
      </c>
      <c r="C574" s="253" t="s">
        <v>31</v>
      </c>
      <c r="D574" s="253" t="s">
        <v>30</v>
      </c>
      <c r="E574" s="253" t="s">
        <v>81</v>
      </c>
      <c r="F574" s="254">
        <v>81</v>
      </c>
      <c r="G574" s="254">
        <v>216</v>
      </c>
      <c r="H574" s="419"/>
      <c r="I574" s="254">
        <v>1986</v>
      </c>
      <c r="J574" s="255"/>
      <c r="K574" s="314" t="s">
        <v>441</v>
      </c>
      <c r="L574" s="343"/>
      <c r="M574" s="255"/>
    </row>
    <row r="575" spans="1:13" ht="15.75" customHeight="1" x14ac:dyDescent="0.3">
      <c r="A575" s="390">
        <v>43378</v>
      </c>
      <c r="B575" s="261" t="s">
        <v>385</v>
      </c>
      <c r="C575" s="253" t="s">
        <v>31</v>
      </c>
      <c r="D575" s="253" t="s">
        <v>30</v>
      </c>
      <c r="E575" s="253" t="s">
        <v>81</v>
      </c>
      <c r="F575" s="254">
        <v>81</v>
      </c>
      <c r="G575" s="254">
        <v>288</v>
      </c>
      <c r="H575" s="252">
        <v>2870</v>
      </c>
      <c r="I575" s="254">
        <v>2870</v>
      </c>
      <c r="J575" s="255"/>
      <c r="K575" s="314" t="s">
        <v>441</v>
      </c>
      <c r="L575" s="343"/>
      <c r="M575" s="255"/>
    </row>
    <row r="576" spans="1:13" ht="15.75" customHeight="1" x14ac:dyDescent="0.3">
      <c r="A576" s="390">
        <v>43378</v>
      </c>
      <c r="B576" s="261" t="s">
        <v>386</v>
      </c>
      <c r="C576" s="253" t="s">
        <v>31</v>
      </c>
      <c r="D576" s="253" t="s">
        <v>30</v>
      </c>
      <c r="E576" s="253" t="s">
        <v>81</v>
      </c>
      <c r="F576" s="254">
        <v>81</v>
      </c>
      <c r="G576" s="254">
        <v>288</v>
      </c>
      <c r="H576" s="252">
        <v>2790</v>
      </c>
      <c r="I576" s="254">
        <v>2790</v>
      </c>
      <c r="J576" s="255"/>
      <c r="K576" s="314" t="s">
        <v>441</v>
      </c>
      <c r="L576" s="343"/>
      <c r="M576" s="255"/>
    </row>
    <row r="577" spans="1:13" ht="15.75" customHeight="1" x14ac:dyDescent="0.3">
      <c r="A577" s="390">
        <v>43378</v>
      </c>
      <c r="B577" s="261" t="s">
        <v>387</v>
      </c>
      <c r="C577" s="253" t="s">
        <v>31</v>
      </c>
      <c r="D577" s="253" t="s">
        <v>30</v>
      </c>
      <c r="E577" s="253" t="s">
        <v>81</v>
      </c>
      <c r="F577" s="254">
        <v>81</v>
      </c>
      <c r="G577" s="254">
        <v>360</v>
      </c>
      <c r="H577" s="252">
        <v>3272</v>
      </c>
      <c r="I577" s="254">
        <v>3272</v>
      </c>
      <c r="J577" s="255"/>
      <c r="K577" s="314" t="s">
        <v>441</v>
      </c>
      <c r="L577" s="343"/>
      <c r="M577" s="255"/>
    </row>
    <row r="578" spans="1:13" ht="15.75" customHeight="1" x14ac:dyDescent="0.3">
      <c r="A578" s="390">
        <v>43378</v>
      </c>
      <c r="B578" s="261" t="s">
        <v>388</v>
      </c>
      <c r="C578" s="253" t="s">
        <v>31</v>
      </c>
      <c r="D578" s="253" t="s">
        <v>30</v>
      </c>
      <c r="E578" s="253" t="s">
        <v>81</v>
      </c>
      <c r="F578" s="254">
        <v>81</v>
      </c>
      <c r="G578" s="254">
        <v>288</v>
      </c>
      <c r="H578" s="252">
        <v>2790</v>
      </c>
      <c r="I578" s="254">
        <v>2790</v>
      </c>
      <c r="J578" s="255"/>
      <c r="K578" s="314" t="s">
        <v>441</v>
      </c>
      <c r="L578" s="343"/>
      <c r="M578" s="255"/>
    </row>
    <row r="579" spans="1:13" ht="15.75" customHeight="1" x14ac:dyDescent="0.3">
      <c r="A579" s="390">
        <v>43378</v>
      </c>
      <c r="B579" s="260" t="s">
        <v>389</v>
      </c>
      <c r="C579" s="44" t="s">
        <v>31</v>
      </c>
      <c r="D579" s="44" t="s">
        <v>30</v>
      </c>
      <c r="E579" s="44" t="s">
        <v>81</v>
      </c>
      <c r="F579" s="102">
        <v>82</v>
      </c>
      <c r="G579" s="102">
        <v>288</v>
      </c>
      <c r="H579" s="103">
        <v>2690</v>
      </c>
      <c r="I579" s="102">
        <v>2690</v>
      </c>
      <c r="J579" s="101"/>
      <c r="K579" s="333"/>
      <c r="L579" s="333"/>
    </row>
    <row r="580" spans="1:13" ht="15.75" customHeight="1" x14ac:dyDescent="0.3">
      <c r="A580" s="390">
        <v>43378</v>
      </c>
      <c r="B580" s="260" t="s">
        <v>390</v>
      </c>
      <c r="C580" s="44" t="s">
        <v>31</v>
      </c>
      <c r="D580" s="44" t="s">
        <v>30</v>
      </c>
      <c r="E580" s="44" t="s">
        <v>81</v>
      </c>
      <c r="F580" s="102">
        <v>81</v>
      </c>
      <c r="G580" s="102">
        <v>288</v>
      </c>
      <c r="H580" s="103">
        <v>2670</v>
      </c>
      <c r="I580" s="102">
        <v>2670</v>
      </c>
      <c r="J580" s="101"/>
      <c r="K580" s="333"/>
      <c r="L580" s="333"/>
    </row>
    <row r="581" spans="1:13" ht="15.75" customHeight="1" x14ac:dyDescent="0.3">
      <c r="A581" s="390">
        <v>43378</v>
      </c>
      <c r="B581" s="260" t="s">
        <v>391</v>
      </c>
      <c r="C581" s="44" t="s">
        <v>31</v>
      </c>
      <c r="D581" s="44" t="s">
        <v>30</v>
      </c>
      <c r="E581" s="44" t="s">
        <v>81</v>
      </c>
      <c r="F581" s="102">
        <v>81</v>
      </c>
      <c r="G581" s="102">
        <v>288</v>
      </c>
      <c r="H581" s="103">
        <v>2710</v>
      </c>
      <c r="I581" s="102">
        <v>2710</v>
      </c>
      <c r="J581" s="101"/>
      <c r="K581" s="194"/>
      <c r="L581" s="333"/>
    </row>
    <row r="582" spans="1:13" ht="15.75" customHeight="1" x14ac:dyDescent="0.3">
      <c r="A582" s="390">
        <v>43378</v>
      </c>
      <c r="B582" s="260" t="s">
        <v>392</v>
      </c>
      <c r="C582" s="44" t="s">
        <v>31</v>
      </c>
      <c r="D582" s="44" t="s">
        <v>30</v>
      </c>
      <c r="E582" s="44" t="s">
        <v>81</v>
      </c>
      <c r="F582" s="102">
        <v>82</v>
      </c>
      <c r="G582" s="102">
        <v>360</v>
      </c>
      <c r="H582" s="103">
        <v>3400</v>
      </c>
      <c r="I582" s="102">
        <v>3400</v>
      </c>
      <c r="J582" s="101"/>
      <c r="K582" s="333"/>
      <c r="L582" s="333"/>
    </row>
    <row r="583" spans="1:13" ht="16.5" customHeight="1" x14ac:dyDescent="0.3">
      <c r="A583" s="390">
        <v>43378</v>
      </c>
      <c r="B583" s="260" t="s">
        <v>393</v>
      </c>
      <c r="C583" s="44" t="s">
        <v>31</v>
      </c>
      <c r="D583" s="44" t="s">
        <v>30</v>
      </c>
      <c r="E583" s="44" t="s">
        <v>81</v>
      </c>
      <c r="F583" s="102">
        <v>82</v>
      </c>
      <c r="G583" s="102">
        <v>360</v>
      </c>
      <c r="H583" s="103">
        <v>3340</v>
      </c>
      <c r="I583" s="102">
        <v>3340</v>
      </c>
      <c r="J583" s="101"/>
      <c r="K583" s="333"/>
      <c r="L583" s="333"/>
    </row>
    <row r="584" spans="1:13" ht="15.75" customHeight="1" x14ac:dyDescent="0.25">
      <c r="A584" s="390">
        <v>43378</v>
      </c>
      <c r="B584" s="384" t="s">
        <v>398</v>
      </c>
      <c r="C584" s="99" t="s">
        <v>31</v>
      </c>
      <c r="D584" s="99" t="s">
        <v>30</v>
      </c>
      <c r="E584" s="99" t="s">
        <v>81</v>
      </c>
      <c r="F584" s="99">
        <v>76</v>
      </c>
      <c r="G584" s="99">
        <v>108</v>
      </c>
      <c r="H584" s="417">
        <v>2690</v>
      </c>
      <c r="I584" s="99">
        <v>1008.75</v>
      </c>
      <c r="J584" s="100"/>
      <c r="K584" s="337"/>
      <c r="L584" s="337"/>
    </row>
    <row r="585" spans="1:13" ht="15.75" customHeight="1" x14ac:dyDescent="0.25">
      <c r="A585" s="390">
        <v>43378</v>
      </c>
      <c r="B585" s="384" t="s">
        <v>398</v>
      </c>
      <c r="C585" s="99" t="s">
        <v>31</v>
      </c>
      <c r="D585" s="99" t="s">
        <v>30</v>
      </c>
      <c r="E585" s="99" t="s">
        <v>81</v>
      </c>
      <c r="F585" s="99">
        <v>79</v>
      </c>
      <c r="G585" s="99">
        <v>180</v>
      </c>
      <c r="H585" s="417"/>
      <c r="I585" s="99">
        <v>1681.25</v>
      </c>
      <c r="J585" s="100"/>
      <c r="K585" s="337"/>
      <c r="L585" s="337"/>
    </row>
    <row r="586" spans="1:13" ht="15.75" customHeight="1" x14ac:dyDescent="0.25">
      <c r="A586" s="390">
        <v>43378</v>
      </c>
      <c r="B586" s="384" t="s">
        <v>399</v>
      </c>
      <c r="C586" s="99" t="s">
        <v>31</v>
      </c>
      <c r="D586" s="99" t="s">
        <v>30</v>
      </c>
      <c r="E586" s="99" t="s">
        <v>81</v>
      </c>
      <c r="F586" s="99">
        <v>79</v>
      </c>
      <c r="G586" s="99">
        <v>144</v>
      </c>
      <c r="H586" s="417">
        <v>2740</v>
      </c>
      <c r="I586" s="99">
        <v>1370</v>
      </c>
      <c r="J586" s="100"/>
      <c r="K586" s="337"/>
      <c r="L586" s="337"/>
    </row>
    <row r="587" spans="1:13" ht="15.75" customHeight="1" x14ac:dyDescent="0.25">
      <c r="A587" s="390">
        <v>43378</v>
      </c>
      <c r="B587" s="384" t="s">
        <v>399</v>
      </c>
      <c r="C587" s="99" t="s">
        <v>31</v>
      </c>
      <c r="D587" s="99" t="s">
        <v>30</v>
      </c>
      <c r="E587" s="99" t="s">
        <v>81</v>
      </c>
      <c r="F587" s="99">
        <v>82</v>
      </c>
      <c r="G587" s="99">
        <v>144</v>
      </c>
      <c r="H587" s="417"/>
      <c r="I587" s="99">
        <v>1370</v>
      </c>
      <c r="J587" s="100"/>
      <c r="K587" s="337"/>
      <c r="L587" s="337"/>
    </row>
    <row r="588" spans="1:13" ht="15.75" customHeight="1" x14ac:dyDescent="0.25">
      <c r="A588" s="390">
        <v>43378</v>
      </c>
      <c r="B588" s="384" t="s">
        <v>400</v>
      </c>
      <c r="C588" s="99" t="s">
        <v>31</v>
      </c>
      <c r="D588" s="99" t="s">
        <v>30</v>
      </c>
      <c r="E588" s="99" t="s">
        <v>81</v>
      </c>
      <c r="F588" s="99">
        <v>76</v>
      </c>
      <c r="G588" s="99">
        <v>36</v>
      </c>
      <c r="H588" s="417">
        <v>2740</v>
      </c>
      <c r="I588" s="99">
        <v>342.5</v>
      </c>
      <c r="J588" s="100"/>
      <c r="K588" s="337"/>
      <c r="L588" s="337"/>
    </row>
    <row r="589" spans="1:13" ht="15.75" customHeight="1" x14ac:dyDescent="0.25">
      <c r="A589" s="390">
        <v>43378</v>
      </c>
      <c r="B589" s="384" t="s">
        <v>400</v>
      </c>
      <c r="C589" s="99" t="s">
        <v>31</v>
      </c>
      <c r="D589" s="99" t="s">
        <v>30</v>
      </c>
      <c r="E589" s="99" t="s">
        <v>81</v>
      </c>
      <c r="F589" s="99">
        <v>82</v>
      </c>
      <c r="G589" s="99">
        <v>252</v>
      </c>
      <c r="H589" s="417"/>
      <c r="I589" s="99">
        <v>2397.5</v>
      </c>
      <c r="J589" s="100"/>
      <c r="K589" s="337"/>
      <c r="L589" s="337"/>
    </row>
    <row r="590" spans="1:13" ht="15.75" customHeight="1" x14ac:dyDescent="0.25">
      <c r="A590" s="390">
        <v>43378</v>
      </c>
      <c r="B590" s="262" t="s">
        <v>401</v>
      </c>
      <c r="C590" s="99" t="s">
        <v>31</v>
      </c>
      <c r="D590" s="99" t="s">
        <v>30</v>
      </c>
      <c r="E590" s="99" t="s">
        <v>81</v>
      </c>
      <c r="F590" s="99">
        <v>79</v>
      </c>
      <c r="G590" s="99">
        <v>288</v>
      </c>
      <c r="H590" s="105">
        <v>2800</v>
      </c>
      <c r="I590" s="99">
        <v>2800</v>
      </c>
      <c r="J590" s="100"/>
      <c r="K590" s="337"/>
      <c r="L590" s="337"/>
    </row>
    <row r="591" spans="1:13" ht="15.75" customHeight="1" x14ac:dyDescent="0.25">
      <c r="A591" s="390">
        <v>43378</v>
      </c>
      <c r="B591" s="260" t="s">
        <v>402</v>
      </c>
      <c r="C591" s="44" t="s">
        <v>31</v>
      </c>
      <c r="D591" s="44" t="s">
        <v>30</v>
      </c>
      <c r="E591" s="44" t="s">
        <v>81</v>
      </c>
      <c r="F591" s="44">
        <v>79</v>
      </c>
      <c r="G591" s="44">
        <v>288</v>
      </c>
      <c r="H591" s="45">
        <v>2420</v>
      </c>
      <c r="I591" s="44">
        <v>2420</v>
      </c>
      <c r="J591" s="46"/>
      <c r="K591" s="199"/>
      <c r="L591" s="344"/>
    </row>
    <row r="592" spans="1:13" ht="15.75" customHeight="1" x14ac:dyDescent="0.25">
      <c r="A592" s="390">
        <v>43378</v>
      </c>
      <c r="B592" s="385" t="s">
        <v>403</v>
      </c>
      <c r="C592" s="44" t="s">
        <v>31</v>
      </c>
      <c r="D592" s="44" t="s">
        <v>30</v>
      </c>
      <c r="E592" s="44" t="s">
        <v>81</v>
      </c>
      <c r="F592" s="44">
        <v>76</v>
      </c>
      <c r="G592" s="44">
        <v>180</v>
      </c>
      <c r="H592" s="416">
        <v>2620</v>
      </c>
      <c r="I592" s="44">
        <v>1637.5</v>
      </c>
      <c r="J592" s="46"/>
      <c r="K592" s="199"/>
      <c r="L592" s="344"/>
    </row>
    <row r="593" spans="1:12" ht="16.5" customHeight="1" x14ac:dyDescent="0.25">
      <c r="A593" s="390">
        <v>43378</v>
      </c>
      <c r="B593" s="385" t="s">
        <v>403</v>
      </c>
      <c r="C593" s="44" t="s">
        <v>31</v>
      </c>
      <c r="D593" s="44" t="s">
        <v>30</v>
      </c>
      <c r="E593" s="44" t="s">
        <v>81</v>
      </c>
      <c r="F593" s="44">
        <v>79</v>
      </c>
      <c r="G593" s="44">
        <v>108</v>
      </c>
      <c r="H593" s="416"/>
      <c r="I593" s="44">
        <v>982.5</v>
      </c>
      <c r="J593" s="46"/>
      <c r="K593" s="199"/>
      <c r="L593" s="344"/>
    </row>
    <row r="594" spans="1:12" ht="17.25" customHeight="1" x14ac:dyDescent="0.25">
      <c r="A594" s="390">
        <v>43378</v>
      </c>
      <c r="B594" s="260" t="s">
        <v>404</v>
      </c>
      <c r="C594" s="44" t="s">
        <v>31</v>
      </c>
      <c r="D594" s="44" t="s">
        <v>30</v>
      </c>
      <c r="E594" s="44" t="s">
        <v>81</v>
      </c>
      <c r="F594" s="44">
        <v>81</v>
      </c>
      <c r="G594" s="44">
        <v>360</v>
      </c>
      <c r="H594" s="192">
        <v>3350</v>
      </c>
      <c r="I594" s="44">
        <v>3350</v>
      </c>
      <c r="J594" s="46"/>
      <c r="K594" s="199"/>
      <c r="L594" s="344"/>
    </row>
    <row r="595" spans="1:12" ht="17.25" customHeight="1" x14ac:dyDescent="0.25">
      <c r="A595" s="390">
        <v>43378</v>
      </c>
      <c r="B595" s="385" t="s">
        <v>405</v>
      </c>
      <c r="C595" s="44" t="s">
        <v>31</v>
      </c>
      <c r="D595" s="44" t="s">
        <v>30</v>
      </c>
      <c r="E595" s="44" t="s">
        <v>81</v>
      </c>
      <c r="F595" s="44">
        <v>81</v>
      </c>
      <c r="G595" s="44">
        <v>180</v>
      </c>
      <c r="H595" s="416">
        <v>3420</v>
      </c>
      <c r="I595" s="44">
        <v>1710</v>
      </c>
      <c r="J595" s="46"/>
      <c r="K595" s="199"/>
      <c r="L595" s="344"/>
    </row>
    <row r="596" spans="1:12" ht="17.25" customHeight="1" x14ac:dyDescent="0.25">
      <c r="A596" s="390">
        <v>43378</v>
      </c>
      <c r="B596" s="385" t="s">
        <v>405</v>
      </c>
      <c r="C596" s="44" t="s">
        <v>31</v>
      </c>
      <c r="D596" s="44" t="s">
        <v>30</v>
      </c>
      <c r="E596" s="44" t="s">
        <v>81</v>
      </c>
      <c r="F596" s="44">
        <v>82</v>
      </c>
      <c r="G596" s="44">
        <v>180</v>
      </c>
      <c r="H596" s="416"/>
      <c r="I596" s="44">
        <v>1710</v>
      </c>
      <c r="J596" s="46"/>
      <c r="K596" s="199"/>
      <c r="L596" s="344"/>
    </row>
    <row r="597" spans="1:12" ht="17.25" customHeight="1" x14ac:dyDescent="0.25">
      <c r="A597" s="390">
        <v>43378</v>
      </c>
      <c r="B597" s="260" t="s">
        <v>406</v>
      </c>
      <c r="C597" s="44" t="s">
        <v>31</v>
      </c>
      <c r="D597" s="44" t="s">
        <v>30</v>
      </c>
      <c r="E597" s="44" t="s">
        <v>81</v>
      </c>
      <c r="F597" s="44">
        <v>82</v>
      </c>
      <c r="G597" s="44">
        <v>360</v>
      </c>
      <c r="H597" s="192">
        <v>3520</v>
      </c>
      <c r="I597" s="44">
        <v>3520</v>
      </c>
      <c r="J597" s="46"/>
      <c r="K597" s="199"/>
      <c r="L597" s="344"/>
    </row>
    <row r="598" spans="1:12" ht="17.25" customHeight="1" x14ac:dyDescent="0.25">
      <c r="A598" s="390">
        <v>43378</v>
      </c>
      <c r="B598" s="260" t="s">
        <v>407</v>
      </c>
      <c r="C598" s="44" t="s">
        <v>31</v>
      </c>
      <c r="D598" s="44" t="s">
        <v>30</v>
      </c>
      <c r="E598" s="44" t="s">
        <v>81</v>
      </c>
      <c r="F598" s="44">
        <v>82</v>
      </c>
      <c r="G598" s="44">
        <v>288</v>
      </c>
      <c r="H598" s="192">
        <v>2720</v>
      </c>
      <c r="I598" s="44">
        <v>2720</v>
      </c>
      <c r="J598" s="46"/>
      <c r="K598" s="199"/>
      <c r="L598" s="344"/>
    </row>
    <row r="599" spans="1:12" ht="17.25" customHeight="1" x14ac:dyDescent="0.25">
      <c r="A599" s="390">
        <v>43378</v>
      </c>
      <c r="B599" s="260" t="s">
        <v>408</v>
      </c>
      <c r="C599" s="44" t="s">
        <v>31</v>
      </c>
      <c r="D599" s="44" t="s">
        <v>30</v>
      </c>
      <c r="E599" s="44" t="s">
        <v>81</v>
      </c>
      <c r="F599" s="44">
        <v>76</v>
      </c>
      <c r="G599" s="44">
        <v>288</v>
      </c>
      <c r="H599" s="192">
        <v>3040</v>
      </c>
      <c r="I599" s="44">
        <v>3040</v>
      </c>
      <c r="J599" s="46"/>
      <c r="K599" s="199"/>
      <c r="L599" s="344"/>
    </row>
    <row r="600" spans="1:12" ht="17.25" customHeight="1" x14ac:dyDescent="0.25">
      <c r="A600" s="390">
        <v>43378</v>
      </c>
      <c r="B600" s="385" t="s">
        <v>409</v>
      </c>
      <c r="C600" s="44" t="s">
        <v>31</v>
      </c>
      <c r="D600" s="44" t="s">
        <v>30</v>
      </c>
      <c r="E600" s="44" t="s">
        <v>81</v>
      </c>
      <c r="F600" s="44">
        <v>76</v>
      </c>
      <c r="G600" s="44">
        <v>108</v>
      </c>
      <c r="H600" s="416">
        <v>2570</v>
      </c>
      <c r="I600" s="44">
        <v>963.75</v>
      </c>
      <c r="J600" s="46"/>
      <c r="K600" s="199"/>
      <c r="L600" s="344"/>
    </row>
    <row r="601" spans="1:12" ht="17.25" customHeight="1" x14ac:dyDescent="0.25">
      <c r="A601" s="390">
        <v>43378</v>
      </c>
      <c r="B601" s="385" t="s">
        <v>409</v>
      </c>
      <c r="C601" s="44" t="s">
        <v>31</v>
      </c>
      <c r="D601" s="44" t="s">
        <v>30</v>
      </c>
      <c r="E601" s="44" t="s">
        <v>81</v>
      </c>
      <c r="F601" s="44">
        <v>79</v>
      </c>
      <c r="G601" s="44">
        <v>180</v>
      </c>
      <c r="H601" s="416"/>
      <c r="I601" s="44">
        <v>1606.25</v>
      </c>
      <c r="J601" s="46"/>
      <c r="K601" s="199"/>
      <c r="L601" s="344"/>
    </row>
    <row r="602" spans="1:12" ht="17.25" customHeight="1" x14ac:dyDescent="0.25">
      <c r="A602" s="390">
        <v>43378</v>
      </c>
      <c r="B602" s="385" t="s">
        <v>410</v>
      </c>
      <c r="C602" s="44" t="s">
        <v>31</v>
      </c>
      <c r="D602" s="44" t="s">
        <v>30</v>
      </c>
      <c r="E602" s="44" t="s">
        <v>81</v>
      </c>
      <c r="F602" s="44">
        <v>79</v>
      </c>
      <c r="G602" s="44">
        <v>72</v>
      </c>
      <c r="H602" s="416">
        <v>2820</v>
      </c>
      <c r="I602" s="44">
        <v>705</v>
      </c>
      <c r="J602" s="46"/>
      <c r="K602" s="199"/>
      <c r="L602" s="344"/>
    </row>
    <row r="603" spans="1:12" ht="17.25" customHeight="1" x14ac:dyDescent="0.25">
      <c r="A603" s="390">
        <v>43378</v>
      </c>
      <c r="B603" s="385" t="s">
        <v>410</v>
      </c>
      <c r="C603" s="44" t="s">
        <v>31</v>
      </c>
      <c r="D603" s="44" t="s">
        <v>30</v>
      </c>
      <c r="E603" s="44" t="s">
        <v>81</v>
      </c>
      <c r="F603" s="44">
        <v>84</v>
      </c>
      <c r="G603" s="44">
        <v>216</v>
      </c>
      <c r="H603" s="416"/>
      <c r="I603" s="44">
        <v>2115</v>
      </c>
      <c r="J603" s="46"/>
      <c r="K603" s="199"/>
      <c r="L603" s="344"/>
    </row>
    <row r="604" spans="1:12" ht="17.25" customHeight="1" x14ac:dyDescent="0.25">
      <c r="A604" s="390">
        <v>43378</v>
      </c>
      <c r="B604" s="260" t="s">
        <v>411</v>
      </c>
      <c r="C604" s="44" t="s">
        <v>31</v>
      </c>
      <c r="D604" s="44" t="s">
        <v>30</v>
      </c>
      <c r="E604" s="44" t="s">
        <v>81</v>
      </c>
      <c r="F604" s="44">
        <v>82</v>
      </c>
      <c r="G604" s="44">
        <v>288</v>
      </c>
      <c r="H604" s="192">
        <v>2710</v>
      </c>
      <c r="I604" s="44">
        <v>2710</v>
      </c>
      <c r="J604" s="46"/>
      <c r="K604" s="199"/>
      <c r="L604" s="344"/>
    </row>
    <row r="605" spans="1:12" ht="17.25" customHeight="1" x14ac:dyDescent="0.25">
      <c r="A605" s="390">
        <v>43378</v>
      </c>
      <c r="B605" s="260" t="s">
        <v>412</v>
      </c>
      <c r="C605" s="44" t="s">
        <v>31</v>
      </c>
      <c r="D605" s="44" t="s">
        <v>30</v>
      </c>
      <c r="E605" s="44" t="s">
        <v>81</v>
      </c>
      <c r="F605" s="44">
        <v>82</v>
      </c>
      <c r="G605" s="44">
        <v>288</v>
      </c>
      <c r="H605" s="192">
        <v>2840</v>
      </c>
      <c r="I605" s="44">
        <v>2840</v>
      </c>
      <c r="J605" s="46"/>
      <c r="K605" s="199"/>
      <c r="L605" s="344"/>
    </row>
    <row r="606" spans="1:12" ht="17.25" customHeight="1" x14ac:dyDescent="0.25">
      <c r="A606" s="390">
        <v>43378</v>
      </c>
      <c r="B606" s="385" t="s">
        <v>413</v>
      </c>
      <c r="C606" s="44" t="s">
        <v>31</v>
      </c>
      <c r="D606" s="44" t="s">
        <v>30</v>
      </c>
      <c r="E606" s="44" t="s">
        <v>81</v>
      </c>
      <c r="F606" s="44">
        <v>79</v>
      </c>
      <c r="G606" s="44">
        <v>144</v>
      </c>
      <c r="H606" s="416">
        <v>2550</v>
      </c>
      <c r="I606" s="44">
        <v>1275</v>
      </c>
      <c r="J606" s="46"/>
      <c r="K606" s="199"/>
      <c r="L606" s="344"/>
    </row>
    <row r="607" spans="1:12" ht="17.25" customHeight="1" x14ac:dyDescent="0.25">
      <c r="A607" s="390">
        <v>43378</v>
      </c>
      <c r="B607" s="385" t="s">
        <v>413</v>
      </c>
      <c r="C607" s="44" t="s">
        <v>31</v>
      </c>
      <c r="D607" s="44" t="s">
        <v>30</v>
      </c>
      <c r="E607" s="44" t="s">
        <v>81</v>
      </c>
      <c r="F607" s="44">
        <v>81</v>
      </c>
      <c r="G607" s="44">
        <v>144</v>
      </c>
      <c r="H607" s="416"/>
      <c r="I607" s="44">
        <v>1275</v>
      </c>
      <c r="J607" s="46"/>
      <c r="K607" s="199"/>
      <c r="L607" s="344"/>
    </row>
    <row r="608" spans="1:12" ht="17.25" customHeight="1" x14ac:dyDescent="0.25">
      <c r="A608" s="390">
        <v>43378</v>
      </c>
      <c r="B608" s="385" t="s">
        <v>414</v>
      </c>
      <c r="C608" s="44" t="s">
        <v>31</v>
      </c>
      <c r="D608" s="44" t="s">
        <v>30</v>
      </c>
      <c r="E608" s="44" t="s">
        <v>81</v>
      </c>
      <c r="F608" s="44">
        <v>76</v>
      </c>
      <c r="G608" s="44">
        <v>108</v>
      </c>
      <c r="H608" s="416">
        <v>3490</v>
      </c>
      <c r="I608" s="44">
        <v>1047</v>
      </c>
      <c r="J608" s="46"/>
      <c r="K608" s="199"/>
      <c r="L608" s="344"/>
    </row>
    <row r="609" spans="1:12" ht="17.25" customHeight="1" x14ac:dyDescent="0.25">
      <c r="A609" s="390">
        <v>43378</v>
      </c>
      <c r="B609" s="385" t="s">
        <v>414</v>
      </c>
      <c r="C609" s="44" t="s">
        <v>31</v>
      </c>
      <c r="D609" s="44" t="s">
        <v>30</v>
      </c>
      <c r="E609" s="44" t="s">
        <v>81</v>
      </c>
      <c r="F609" s="44">
        <v>79</v>
      </c>
      <c r="G609" s="44">
        <v>144</v>
      </c>
      <c r="H609" s="416"/>
      <c r="I609" s="44">
        <v>1396</v>
      </c>
      <c r="J609" s="46"/>
      <c r="K609" s="199"/>
      <c r="L609" s="344"/>
    </row>
    <row r="610" spans="1:12" ht="17.25" customHeight="1" x14ac:dyDescent="0.25">
      <c r="A610" s="390">
        <v>43378</v>
      </c>
      <c r="B610" s="385" t="s">
        <v>414</v>
      </c>
      <c r="C610" s="44" t="s">
        <v>31</v>
      </c>
      <c r="D610" s="44" t="s">
        <v>30</v>
      </c>
      <c r="E610" s="44" t="s">
        <v>81</v>
      </c>
      <c r="F610" s="44">
        <v>81</v>
      </c>
      <c r="G610" s="44">
        <v>108</v>
      </c>
      <c r="H610" s="416"/>
      <c r="I610" s="44">
        <v>1047</v>
      </c>
      <c r="J610" s="46"/>
      <c r="K610" s="199"/>
      <c r="L610" s="344"/>
    </row>
    <row r="611" spans="1:12" ht="17.25" customHeight="1" x14ac:dyDescent="0.25">
      <c r="A611" s="390">
        <v>43378</v>
      </c>
      <c r="B611" s="385" t="s">
        <v>415</v>
      </c>
      <c r="C611" s="44" t="s">
        <v>31</v>
      </c>
      <c r="D611" s="44" t="s">
        <v>30</v>
      </c>
      <c r="E611" s="44" t="s">
        <v>81</v>
      </c>
      <c r="F611" s="44">
        <v>82</v>
      </c>
      <c r="G611" s="44">
        <v>144</v>
      </c>
      <c r="H611" s="416">
        <v>3040</v>
      </c>
      <c r="I611" s="44">
        <v>1520</v>
      </c>
      <c r="J611" s="46"/>
      <c r="K611" s="199"/>
      <c r="L611" s="344"/>
    </row>
    <row r="612" spans="1:12" ht="17.25" customHeight="1" x14ac:dyDescent="0.25">
      <c r="A612" s="390">
        <v>43378</v>
      </c>
      <c r="B612" s="385" t="s">
        <v>415</v>
      </c>
      <c r="C612" s="44" t="s">
        <v>31</v>
      </c>
      <c r="D612" s="44" t="s">
        <v>30</v>
      </c>
      <c r="E612" s="44" t="s">
        <v>81</v>
      </c>
      <c r="F612" s="44">
        <v>84</v>
      </c>
      <c r="G612" s="44">
        <v>144</v>
      </c>
      <c r="H612" s="416"/>
      <c r="I612" s="44">
        <v>1520</v>
      </c>
      <c r="J612" s="46"/>
      <c r="K612" s="199"/>
      <c r="L612" s="344"/>
    </row>
    <row r="613" spans="1:12" ht="17.25" customHeight="1" x14ac:dyDescent="0.25">
      <c r="A613" s="390">
        <v>43378</v>
      </c>
      <c r="B613" s="385" t="s">
        <v>416</v>
      </c>
      <c r="C613" s="44" t="s">
        <v>31</v>
      </c>
      <c r="D613" s="44" t="s">
        <v>30</v>
      </c>
      <c r="E613" s="44" t="s">
        <v>81</v>
      </c>
      <c r="F613" s="44">
        <v>82</v>
      </c>
      <c r="G613" s="44">
        <v>72</v>
      </c>
      <c r="H613" s="416">
        <v>2720</v>
      </c>
      <c r="I613" s="44">
        <v>680</v>
      </c>
      <c r="J613" s="46"/>
      <c r="K613" s="199"/>
      <c r="L613" s="344"/>
    </row>
    <row r="614" spans="1:12" ht="17.25" customHeight="1" x14ac:dyDescent="0.25">
      <c r="A614" s="390">
        <v>43378</v>
      </c>
      <c r="B614" s="385" t="s">
        <v>416</v>
      </c>
      <c r="C614" s="44" t="s">
        <v>31</v>
      </c>
      <c r="D614" s="44" t="s">
        <v>30</v>
      </c>
      <c r="E614" s="44" t="s">
        <v>81</v>
      </c>
      <c r="F614" s="44">
        <v>84</v>
      </c>
      <c r="G614" s="44">
        <v>216</v>
      </c>
      <c r="H614" s="416"/>
      <c r="I614" s="44">
        <v>2040</v>
      </c>
      <c r="J614" s="46"/>
      <c r="K614" s="199"/>
      <c r="L614" s="344"/>
    </row>
    <row r="615" spans="1:12" ht="17.25" customHeight="1" x14ac:dyDescent="0.25">
      <c r="A615" s="390">
        <v>43378</v>
      </c>
      <c r="B615" s="385" t="s">
        <v>417</v>
      </c>
      <c r="C615" s="44" t="s">
        <v>31</v>
      </c>
      <c r="D615" s="44" t="s">
        <v>30</v>
      </c>
      <c r="E615" s="44" t="s">
        <v>81</v>
      </c>
      <c r="F615" s="44">
        <v>79</v>
      </c>
      <c r="G615" s="44">
        <v>180</v>
      </c>
      <c r="H615" s="416">
        <v>2840</v>
      </c>
      <c r="I615" s="44">
        <v>1775</v>
      </c>
      <c r="J615" s="46"/>
      <c r="K615" s="199"/>
      <c r="L615" s="344"/>
    </row>
    <row r="616" spans="1:12" ht="17.25" customHeight="1" x14ac:dyDescent="0.25">
      <c r="A616" s="390">
        <v>43378</v>
      </c>
      <c r="B616" s="385" t="s">
        <v>417</v>
      </c>
      <c r="C616" s="44" t="s">
        <v>31</v>
      </c>
      <c r="D616" s="44" t="s">
        <v>30</v>
      </c>
      <c r="E616" s="44" t="s">
        <v>81</v>
      </c>
      <c r="F616" s="44">
        <v>81</v>
      </c>
      <c r="G616" s="44">
        <v>108</v>
      </c>
      <c r="H616" s="416"/>
      <c r="I616" s="44">
        <v>1065</v>
      </c>
      <c r="J616" s="46"/>
      <c r="K616" s="199"/>
      <c r="L616" s="344"/>
    </row>
    <row r="617" spans="1:12" ht="17.25" customHeight="1" x14ac:dyDescent="0.25">
      <c r="A617" s="390">
        <v>43378</v>
      </c>
      <c r="B617" s="260" t="s">
        <v>418</v>
      </c>
      <c r="C617" s="44" t="s">
        <v>31</v>
      </c>
      <c r="D617" s="44" t="s">
        <v>30</v>
      </c>
      <c r="E617" s="44" t="s">
        <v>81</v>
      </c>
      <c r="F617" s="44">
        <v>82</v>
      </c>
      <c r="G617" s="44">
        <v>360</v>
      </c>
      <c r="H617" s="192">
        <v>3410</v>
      </c>
      <c r="I617" s="44">
        <v>3410</v>
      </c>
      <c r="J617" s="46"/>
      <c r="K617" s="199"/>
      <c r="L617" s="344"/>
    </row>
    <row r="618" spans="1:12" ht="17.25" customHeight="1" x14ac:dyDescent="0.25">
      <c r="A618" s="390">
        <v>43378</v>
      </c>
      <c r="B618" s="385" t="s">
        <v>419</v>
      </c>
      <c r="C618" s="44" t="s">
        <v>31</v>
      </c>
      <c r="D618" s="44" t="s">
        <v>30</v>
      </c>
      <c r="E618" s="44" t="s">
        <v>81</v>
      </c>
      <c r="F618" s="44">
        <v>76</v>
      </c>
      <c r="G618" s="44">
        <v>144</v>
      </c>
      <c r="H618" s="416">
        <v>2910</v>
      </c>
      <c r="I618" s="44">
        <v>1455</v>
      </c>
      <c r="J618" s="46"/>
      <c r="K618" s="199"/>
      <c r="L618" s="344"/>
    </row>
    <row r="619" spans="1:12" ht="17.25" customHeight="1" x14ac:dyDescent="0.25">
      <c r="A619" s="390">
        <v>43378</v>
      </c>
      <c r="B619" s="385" t="s">
        <v>419</v>
      </c>
      <c r="C619" s="44" t="s">
        <v>31</v>
      </c>
      <c r="D619" s="44" t="s">
        <v>30</v>
      </c>
      <c r="E619" s="44" t="s">
        <v>81</v>
      </c>
      <c r="F619" s="44">
        <v>79</v>
      </c>
      <c r="G619" s="44">
        <v>144</v>
      </c>
      <c r="H619" s="416"/>
      <c r="I619" s="44">
        <v>1455</v>
      </c>
      <c r="J619" s="46"/>
      <c r="K619" s="199"/>
      <c r="L619" s="344"/>
    </row>
    <row r="620" spans="1:12" ht="17.25" customHeight="1" x14ac:dyDescent="0.25">
      <c r="A620" s="390">
        <v>43378</v>
      </c>
      <c r="B620" s="385" t="s">
        <v>420</v>
      </c>
      <c r="C620" s="44" t="s">
        <v>31</v>
      </c>
      <c r="D620" s="44" t="s">
        <v>30</v>
      </c>
      <c r="E620" s="44" t="s">
        <v>81</v>
      </c>
      <c r="F620" s="44">
        <v>79</v>
      </c>
      <c r="G620" s="44">
        <v>108</v>
      </c>
      <c r="H620" s="416">
        <v>3390</v>
      </c>
      <c r="I620" s="44">
        <v>1017</v>
      </c>
      <c r="J620" s="46"/>
      <c r="K620" s="199"/>
      <c r="L620" s="344"/>
    </row>
    <row r="621" spans="1:12" ht="17.25" customHeight="1" x14ac:dyDescent="0.25">
      <c r="A621" s="390">
        <v>43378</v>
      </c>
      <c r="B621" s="385" t="s">
        <v>420</v>
      </c>
      <c r="C621" s="44" t="s">
        <v>31</v>
      </c>
      <c r="D621" s="44" t="s">
        <v>30</v>
      </c>
      <c r="E621" s="44" t="s">
        <v>81</v>
      </c>
      <c r="F621" s="44">
        <v>81</v>
      </c>
      <c r="G621" s="44">
        <v>180</v>
      </c>
      <c r="H621" s="416"/>
      <c r="I621" s="44">
        <v>1695</v>
      </c>
      <c r="J621" s="46"/>
      <c r="K621" s="199"/>
      <c r="L621" s="344"/>
    </row>
    <row r="622" spans="1:12" ht="17.25" customHeight="1" x14ac:dyDescent="0.25">
      <c r="A622" s="390">
        <v>43378</v>
      </c>
      <c r="B622" s="385" t="s">
        <v>420</v>
      </c>
      <c r="C622" s="44" t="s">
        <v>31</v>
      </c>
      <c r="D622" s="44" t="s">
        <v>30</v>
      </c>
      <c r="E622" s="44" t="s">
        <v>81</v>
      </c>
      <c r="F622" s="44">
        <v>82</v>
      </c>
      <c r="G622" s="44">
        <v>72</v>
      </c>
      <c r="H622" s="416"/>
      <c r="I622" s="44">
        <v>678</v>
      </c>
      <c r="J622" s="46"/>
      <c r="K622" s="199"/>
      <c r="L622" s="344"/>
    </row>
    <row r="623" spans="1:12" ht="17.25" customHeight="1" x14ac:dyDescent="0.25">
      <c r="A623" s="390">
        <v>43378</v>
      </c>
      <c r="B623" s="385" t="s">
        <v>421</v>
      </c>
      <c r="C623" s="44" t="s">
        <v>31</v>
      </c>
      <c r="D623" s="44" t="s">
        <v>30</v>
      </c>
      <c r="E623" s="44" t="s">
        <v>81</v>
      </c>
      <c r="F623" s="44">
        <v>76</v>
      </c>
      <c r="G623" s="44">
        <v>72</v>
      </c>
      <c r="H623" s="416">
        <v>2750</v>
      </c>
      <c r="I623" s="44">
        <v>687.5</v>
      </c>
      <c r="J623" s="46"/>
      <c r="K623" s="199"/>
      <c r="L623" s="344"/>
    </row>
    <row r="624" spans="1:12" ht="17.25" customHeight="1" x14ac:dyDescent="0.25">
      <c r="A624" s="390">
        <v>43378</v>
      </c>
      <c r="B624" s="385" t="s">
        <v>421</v>
      </c>
      <c r="C624" s="44" t="s">
        <v>31</v>
      </c>
      <c r="D624" s="44" t="s">
        <v>30</v>
      </c>
      <c r="E624" s="44" t="s">
        <v>81</v>
      </c>
      <c r="F624" s="44">
        <v>82</v>
      </c>
      <c r="G624" s="44">
        <v>216</v>
      </c>
      <c r="H624" s="416"/>
      <c r="I624" s="44">
        <v>2062.5</v>
      </c>
      <c r="J624" s="46"/>
      <c r="K624" s="199"/>
      <c r="L624" s="344"/>
    </row>
    <row r="625" spans="1:863" ht="17.25" customHeight="1" x14ac:dyDescent="0.25">
      <c r="A625" s="390">
        <v>43378</v>
      </c>
      <c r="B625" s="385" t="s">
        <v>422</v>
      </c>
      <c r="C625" s="44" t="s">
        <v>31</v>
      </c>
      <c r="D625" s="44" t="s">
        <v>30</v>
      </c>
      <c r="E625" s="44" t="s">
        <v>81</v>
      </c>
      <c r="F625" s="44">
        <v>82</v>
      </c>
      <c r="G625" s="44">
        <v>108</v>
      </c>
      <c r="H625" s="416">
        <v>2580</v>
      </c>
      <c r="I625" s="44">
        <v>967.5</v>
      </c>
      <c r="J625" s="46"/>
      <c r="K625" s="199"/>
      <c r="L625" s="344"/>
    </row>
    <row r="626" spans="1:863" ht="17.25" customHeight="1" x14ac:dyDescent="0.25">
      <c r="A626" s="390">
        <v>43378</v>
      </c>
      <c r="B626" s="385" t="s">
        <v>422</v>
      </c>
      <c r="C626" s="44" t="s">
        <v>31</v>
      </c>
      <c r="D626" s="44" t="s">
        <v>30</v>
      </c>
      <c r="E626" s="44" t="s">
        <v>81</v>
      </c>
      <c r="F626" s="44">
        <v>84</v>
      </c>
      <c r="G626" s="44">
        <v>180</v>
      </c>
      <c r="H626" s="416"/>
      <c r="I626" s="44">
        <v>1612.5</v>
      </c>
      <c r="J626" s="46"/>
      <c r="K626" s="199"/>
      <c r="L626" s="344"/>
    </row>
    <row r="627" spans="1:863" ht="17.25" customHeight="1" x14ac:dyDescent="0.25">
      <c r="A627" s="390">
        <v>43378</v>
      </c>
      <c r="B627" s="385" t="s">
        <v>423</v>
      </c>
      <c r="C627" s="44" t="s">
        <v>31</v>
      </c>
      <c r="D627" s="44" t="s">
        <v>30</v>
      </c>
      <c r="E627" s="44" t="s">
        <v>81</v>
      </c>
      <c r="F627" s="44">
        <v>76</v>
      </c>
      <c r="G627" s="44">
        <v>180</v>
      </c>
      <c r="H627" s="416">
        <v>2510</v>
      </c>
      <c r="I627" s="44">
        <v>1568.75</v>
      </c>
      <c r="J627" s="46"/>
      <c r="K627" s="199"/>
      <c r="L627" s="344"/>
    </row>
    <row r="628" spans="1:863" ht="17.25" customHeight="1" x14ac:dyDescent="0.25">
      <c r="A628" s="390">
        <v>43378</v>
      </c>
      <c r="B628" s="385" t="s">
        <v>423</v>
      </c>
      <c r="C628" s="44" t="s">
        <v>31</v>
      </c>
      <c r="D628" s="44" t="s">
        <v>30</v>
      </c>
      <c r="E628" s="44" t="s">
        <v>81</v>
      </c>
      <c r="F628" s="44">
        <v>81</v>
      </c>
      <c r="G628" s="44">
        <v>108</v>
      </c>
      <c r="H628" s="416"/>
      <c r="I628" s="44">
        <v>941.25</v>
      </c>
      <c r="J628" s="46"/>
      <c r="K628" s="199"/>
      <c r="L628" s="344"/>
    </row>
    <row r="629" spans="1:863" ht="17.25" customHeight="1" x14ac:dyDescent="0.25">
      <c r="A629" s="390">
        <v>43378</v>
      </c>
      <c r="B629" s="385" t="s">
        <v>424</v>
      </c>
      <c r="C629" s="44" t="s">
        <v>31</v>
      </c>
      <c r="D629" s="44" t="s">
        <v>30</v>
      </c>
      <c r="E629" s="44" t="s">
        <v>81</v>
      </c>
      <c r="F629" s="44">
        <v>76</v>
      </c>
      <c r="G629" s="44">
        <v>72</v>
      </c>
      <c r="H629" s="416">
        <v>3460</v>
      </c>
      <c r="I629" s="44">
        <v>692</v>
      </c>
      <c r="J629" s="46"/>
      <c r="K629" s="199"/>
      <c r="L629" s="344"/>
    </row>
    <row r="630" spans="1:863" ht="17.25" customHeight="1" x14ac:dyDescent="0.25">
      <c r="A630" s="390">
        <v>43378</v>
      </c>
      <c r="B630" s="385" t="s">
        <v>424</v>
      </c>
      <c r="C630" s="44" t="s">
        <v>31</v>
      </c>
      <c r="D630" s="44" t="s">
        <v>30</v>
      </c>
      <c r="E630" s="44" t="s">
        <v>81</v>
      </c>
      <c r="F630" s="44">
        <v>79</v>
      </c>
      <c r="G630" s="44">
        <v>288</v>
      </c>
      <c r="H630" s="416"/>
      <c r="I630" s="44">
        <v>2768</v>
      </c>
      <c r="J630" s="46"/>
      <c r="K630" s="199"/>
      <c r="L630" s="344"/>
    </row>
    <row r="631" spans="1:863" ht="17.25" customHeight="1" x14ac:dyDescent="0.25">
      <c r="A631" s="390">
        <v>43378</v>
      </c>
      <c r="B631" s="260" t="s">
        <v>425</v>
      </c>
      <c r="C631" s="44" t="s">
        <v>31</v>
      </c>
      <c r="D631" s="44" t="s">
        <v>30</v>
      </c>
      <c r="E631" s="44" t="s">
        <v>81</v>
      </c>
      <c r="F631" s="44">
        <v>76</v>
      </c>
      <c r="G631" s="44">
        <v>288</v>
      </c>
      <c r="H631" s="192">
        <v>2720</v>
      </c>
      <c r="I631" s="44">
        <v>2720</v>
      </c>
      <c r="J631" s="46"/>
      <c r="K631" s="199"/>
      <c r="L631" s="344"/>
    </row>
    <row r="632" spans="1:863" ht="17.25" customHeight="1" x14ac:dyDescent="0.25">
      <c r="A632" s="390">
        <v>43378</v>
      </c>
      <c r="B632" s="260" t="s">
        <v>426</v>
      </c>
      <c r="C632" s="44" t="s">
        <v>31</v>
      </c>
      <c r="D632" s="44" t="s">
        <v>30</v>
      </c>
      <c r="E632" s="44" t="s">
        <v>81</v>
      </c>
      <c r="F632" s="44">
        <v>76</v>
      </c>
      <c r="G632" s="44">
        <v>288</v>
      </c>
      <c r="H632" s="192">
        <v>2670</v>
      </c>
      <c r="I632" s="44">
        <v>2670</v>
      </c>
      <c r="J632" s="46"/>
      <c r="K632" s="199"/>
      <c r="L632" s="344"/>
    </row>
    <row r="633" spans="1:863" ht="17.25" customHeight="1" x14ac:dyDescent="0.25">
      <c r="A633" s="390">
        <v>43378</v>
      </c>
      <c r="B633" s="260" t="s">
        <v>427</v>
      </c>
      <c r="C633" s="44" t="s">
        <v>31</v>
      </c>
      <c r="D633" s="44" t="s">
        <v>30</v>
      </c>
      <c r="E633" s="44" t="s">
        <v>81</v>
      </c>
      <c r="F633" s="44">
        <v>79</v>
      </c>
      <c r="G633" s="44">
        <v>288</v>
      </c>
      <c r="H633" s="192">
        <v>2890</v>
      </c>
      <c r="I633" s="44">
        <v>2890</v>
      </c>
      <c r="J633" s="46"/>
      <c r="K633" s="199"/>
      <c r="L633" s="344"/>
    </row>
    <row r="634" spans="1:863" ht="17.25" customHeight="1" x14ac:dyDescent="0.25">
      <c r="A634" s="390">
        <v>43378</v>
      </c>
      <c r="B634" s="385" t="s">
        <v>428</v>
      </c>
      <c r="C634" s="44" t="s">
        <v>31</v>
      </c>
      <c r="D634" s="44" t="s">
        <v>30</v>
      </c>
      <c r="E634" s="44" t="s">
        <v>81</v>
      </c>
      <c r="F634" s="44">
        <v>76</v>
      </c>
      <c r="G634" s="44">
        <v>36</v>
      </c>
      <c r="H634" s="416">
        <v>2630</v>
      </c>
      <c r="I634" s="44">
        <v>328.75</v>
      </c>
      <c r="J634" s="46"/>
      <c r="K634" s="199"/>
      <c r="L634" s="344"/>
    </row>
    <row r="635" spans="1:863" ht="17.25" customHeight="1" x14ac:dyDescent="0.25">
      <c r="A635" s="390">
        <v>43378</v>
      </c>
      <c r="B635" s="385" t="s">
        <v>428</v>
      </c>
      <c r="C635" s="44" t="s">
        <v>31</v>
      </c>
      <c r="D635" s="44" t="s">
        <v>30</v>
      </c>
      <c r="E635" s="44" t="s">
        <v>81</v>
      </c>
      <c r="F635" s="44">
        <v>79</v>
      </c>
      <c r="G635" s="44">
        <v>252</v>
      </c>
      <c r="H635" s="416"/>
      <c r="I635" s="44">
        <v>2301.25</v>
      </c>
      <c r="J635" s="46"/>
      <c r="K635" s="199"/>
      <c r="L635" s="344"/>
    </row>
    <row r="636" spans="1:863" ht="17.25" customHeight="1" x14ac:dyDescent="0.25">
      <c r="A636" s="390">
        <v>43378</v>
      </c>
      <c r="B636" s="260" t="s">
        <v>429</v>
      </c>
      <c r="C636" s="44" t="s">
        <v>31</v>
      </c>
      <c r="D636" s="44" t="s">
        <v>30</v>
      </c>
      <c r="E636" s="44" t="s">
        <v>81</v>
      </c>
      <c r="F636" s="44">
        <v>79</v>
      </c>
      <c r="G636" s="44">
        <v>288</v>
      </c>
      <c r="H636" s="192">
        <v>2820</v>
      </c>
      <c r="I636" s="44">
        <v>2820</v>
      </c>
      <c r="J636" s="46"/>
      <c r="K636" s="199"/>
      <c r="L636" s="344"/>
    </row>
    <row r="637" spans="1:863" ht="17.25" customHeight="1" x14ac:dyDescent="0.25">
      <c r="A637" s="390">
        <v>43378</v>
      </c>
      <c r="B637" s="385" t="s">
        <v>430</v>
      </c>
      <c r="C637" s="44" t="s">
        <v>31</v>
      </c>
      <c r="D637" s="44" t="s">
        <v>30</v>
      </c>
      <c r="E637" s="44" t="s">
        <v>81</v>
      </c>
      <c r="F637" s="44">
        <v>79</v>
      </c>
      <c r="G637" s="44">
        <v>72</v>
      </c>
      <c r="H637" s="416">
        <v>2530</v>
      </c>
      <c r="I637" s="44">
        <v>632.5</v>
      </c>
      <c r="J637" s="46"/>
      <c r="K637" s="199"/>
      <c r="L637" s="344"/>
    </row>
    <row r="638" spans="1:863" ht="17.25" customHeight="1" x14ac:dyDescent="0.25">
      <c r="A638" s="390">
        <v>43378</v>
      </c>
      <c r="B638" s="385" t="s">
        <v>430</v>
      </c>
      <c r="C638" s="44" t="s">
        <v>31</v>
      </c>
      <c r="D638" s="44" t="s">
        <v>30</v>
      </c>
      <c r="E638" s="44" t="s">
        <v>81</v>
      </c>
      <c r="F638" s="44">
        <v>82</v>
      </c>
      <c r="G638" s="44">
        <v>216</v>
      </c>
      <c r="H638" s="416"/>
      <c r="I638" s="44">
        <v>1897.5</v>
      </c>
      <c r="J638" s="46"/>
      <c r="K638" s="199"/>
      <c r="L638" s="344"/>
    </row>
    <row r="639" spans="1:863" ht="18" customHeight="1" x14ac:dyDescent="0.25">
      <c r="A639" s="390">
        <v>43378</v>
      </c>
      <c r="B639" s="260" t="s">
        <v>431</v>
      </c>
      <c r="C639" s="44" t="s">
        <v>31</v>
      </c>
      <c r="D639" s="44" t="s">
        <v>30</v>
      </c>
      <c r="E639" s="44" t="s">
        <v>81</v>
      </c>
      <c r="F639" s="44">
        <v>82</v>
      </c>
      <c r="G639" s="44">
        <v>36</v>
      </c>
      <c r="H639" s="192">
        <v>290</v>
      </c>
      <c r="I639" s="44">
        <v>290</v>
      </c>
      <c r="J639" s="46"/>
      <c r="K639" s="199"/>
      <c r="L639" s="344"/>
    </row>
    <row r="640" spans="1:863" ht="15.75" customHeight="1" x14ac:dyDescent="0.25">
      <c r="A640" s="390">
        <v>43378</v>
      </c>
      <c r="B640" s="384" t="s">
        <v>442</v>
      </c>
      <c r="C640" s="99" t="s">
        <v>139</v>
      </c>
      <c r="D640" s="99" t="s">
        <v>30</v>
      </c>
      <c r="E640" s="99" t="s">
        <v>138</v>
      </c>
      <c r="F640" s="99">
        <v>26</v>
      </c>
      <c r="G640" s="99">
        <v>144</v>
      </c>
      <c r="H640" s="417">
        <v>3580</v>
      </c>
      <c r="I640" s="99">
        <v>1432</v>
      </c>
      <c r="J640" s="101"/>
      <c r="K640" s="102"/>
      <c r="L640" s="102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</row>
    <row r="641" spans="1:863" ht="15.75" customHeight="1" x14ac:dyDescent="0.25">
      <c r="A641" s="390">
        <v>43378</v>
      </c>
      <c r="B641" s="384" t="s">
        <v>442</v>
      </c>
      <c r="C641" s="99" t="s">
        <v>139</v>
      </c>
      <c r="D641" s="99" t="s">
        <v>30</v>
      </c>
      <c r="E641" s="99" t="s">
        <v>138</v>
      </c>
      <c r="F641" s="99">
        <v>19</v>
      </c>
      <c r="G641" s="99">
        <v>144</v>
      </c>
      <c r="H641" s="417"/>
      <c r="I641" s="99">
        <v>1432</v>
      </c>
      <c r="J641" s="101"/>
      <c r="K641" s="102"/>
      <c r="L641" s="102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</row>
    <row r="642" spans="1:863" ht="15.75" customHeight="1" x14ac:dyDescent="0.25">
      <c r="A642" s="390">
        <v>43378</v>
      </c>
      <c r="B642" s="384" t="s">
        <v>442</v>
      </c>
      <c r="C642" s="99" t="s">
        <v>139</v>
      </c>
      <c r="D642" s="99" t="s">
        <v>30</v>
      </c>
      <c r="E642" s="99" t="s">
        <v>138</v>
      </c>
      <c r="F642" s="99">
        <v>18</v>
      </c>
      <c r="G642" s="99">
        <v>72</v>
      </c>
      <c r="H642" s="417"/>
      <c r="I642" s="99">
        <v>716</v>
      </c>
      <c r="J642" s="101"/>
      <c r="K642" s="102"/>
      <c r="L642" s="10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</row>
    <row r="643" spans="1:863" ht="15.75" customHeight="1" x14ac:dyDescent="0.25">
      <c r="A643" s="390">
        <v>43378</v>
      </c>
      <c r="B643" s="384" t="s">
        <v>443</v>
      </c>
      <c r="C643" s="99" t="s">
        <v>139</v>
      </c>
      <c r="D643" s="99" t="s">
        <v>30</v>
      </c>
      <c r="E643" s="99" t="s">
        <v>138</v>
      </c>
      <c r="F643" s="99">
        <v>19</v>
      </c>
      <c r="G643" s="99">
        <v>72</v>
      </c>
      <c r="H643" s="417">
        <v>3670</v>
      </c>
      <c r="I643" s="99">
        <v>734</v>
      </c>
      <c r="J643" s="101"/>
      <c r="K643" s="102"/>
      <c r="L643" s="102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</row>
    <row r="644" spans="1:863" ht="15.75" customHeight="1" x14ac:dyDescent="0.25">
      <c r="A644" s="390">
        <v>43378</v>
      </c>
      <c r="B644" s="384" t="s">
        <v>443</v>
      </c>
      <c r="C644" s="99" t="s">
        <v>139</v>
      </c>
      <c r="D644" s="99" t="s">
        <v>30</v>
      </c>
      <c r="E644" s="99" t="s">
        <v>138</v>
      </c>
      <c r="F644" s="99">
        <v>18</v>
      </c>
      <c r="G644" s="99">
        <v>36</v>
      </c>
      <c r="H644" s="417"/>
      <c r="I644" s="99">
        <v>367</v>
      </c>
      <c r="J644" s="101"/>
      <c r="K644" s="102"/>
      <c r="L644" s="102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</row>
    <row r="645" spans="1:863" ht="15.75" customHeight="1" x14ac:dyDescent="0.25">
      <c r="A645" s="390">
        <v>43378</v>
      </c>
      <c r="B645" s="384" t="s">
        <v>443</v>
      </c>
      <c r="C645" s="99" t="s">
        <v>139</v>
      </c>
      <c r="D645" s="99" t="s">
        <v>30</v>
      </c>
      <c r="E645" s="99" t="s">
        <v>138</v>
      </c>
      <c r="F645" s="99">
        <v>26</v>
      </c>
      <c r="G645" s="99">
        <v>108</v>
      </c>
      <c r="H645" s="417"/>
      <c r="I645" s="99">
        <v>1101</v>
      </c>
      <c r="J645" s="101"/>
      <c r="K645" s="102"/>
      <c r="L645" s="102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</row>
    <row r="646" spans="1:863" ht="15.75" customHeight="1" x14ac:dyDescent="0.25">
      <c r="A646" s="390">
        <v>43378</v>
      </c>
      <c r="B646" s="384" t="s">
        <v>443</v>
      </c>
      <c r="C646" s="99" t="s">
        <v>139</v>
      </c>
      <c r="D646" s="99" t="s">
        <v>30</v>
      </c>
      <c r="E646" s="99" t="s">
        <v>138</v>
      </c>
      <c r="F646" s="99">
        <v>20</v>
      </c>
      <c r="G646" s="99">
        <v>144</v>
      </c>
      <c r="H646" s="417"/>
      <c r="I646" s="99">
        <v>1468</v>
      </c>
      <c r="J646" s="101"/>
      <c r="K646" s="102"/>
      <c r="L646" s="102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</row>
    <row r="647" spans="1:863" ht="15.75" customHeight="1" x14ac:dyDescent="0.25">
      <c r="A647" s="390">
        <v>43378</v>
      </c>
      <c r="B647" s="384" t="s">
        <v>444</v>
      </c>
      <c r="C647" s="99" t="s">
        <v>139</v>
      </c>
      <c r="D647" s="99" t="s">
        <v>30</v>
      </c>
      <c r="E647" s="99" t="s">
        <v>138</v>
      </c>
      <c r="F647" s="99">
        <v>19</v>
      </c>
      <c r="G647" s="99">
        <v>324</v>
      </c>
      <c r="H647" s="418">
        <v>3540</v>
      </c>
      <c r="I647" s="99">
        <v>3186</v>
      </c>
      <c r="J647" s="101"/>
      <c r="K647" s="102"/>
      <c r="L647" s="102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</row>
    <row r="648" spans="1:863" ht="15.75" customHeight="1" x14ac:dyDescent="0.25">
      <c r="A648" s="390">
        <v>43378</v>
      </c>
      <c r="B648" s="384" t="s">
        <v>444</v>
      </c>
      <c r="C648" s="99" t="s">
        <v>139</v>
      </c>
      <c r="D648" s="99" t="s">
        <v>30</v>
      </c>
      <c r="E648" s="99" t="s">
        <v>138</v>
      </c>
      <c r="F648" s="99">
        <v>21</v>
      </c>
      <c r="G648" s="99">
        <v>36</v>
      </c>
      <c r="H648" s="418"/>
      <c r="I648" s="99">
        <v>354</v>
      </c>
      <c r="J648" s="101"/>
      <c r="K648" s="102"/>
      <c r="L648" s="102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</row>
    <row r="649" spans="1:863" ht="15" customHeight="1" x14ac:dyDescent="0.25">
      <c r="A649" s="390">
        <v>43378</v>
      </c>
      <c r="B649" s="384" t="s">
        <v>445</v>
      </c>
      <c r="C649" s="99" t="s">
        <v>139</v>
      </c>
      <c r="D649" s="99" t="s">
        <v>30</v>
      </c>
      <c r="E649" s="99" t="s">
        <v>138</v>
      </c>
      <c r="F649" s="99">
        <v>20</v>
      </c>
      <c r="G649" s="99">
        <v>108</v>
      </c>
      <c r="H649" s="418">
        <v>3610</v>
      </c>
      <c r="I649" s="99">
        <v>1083</v>
      </c>
      <c r="J649" s="101"/>
      <c r="K649" s="102"/>
      <c r="L649" s="102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</row>
    <row r="650" spans="1:863" ht="15" customHeight="1" x14ac:dyDescent="0.25">
      <c r="A650" s="390">
        <v>43378</v>
      </c>
      <c r="B650" s="384" t="s">
        <v>445</v>
      </c>
      <c r="C650" s="99" t="s">
        <v>139</v>
      </c>
      <c r="D650" s="99" t="s">
        <v>30</v>
      </c>
      <c r="E650" s="99" t="s">
        <v>138</v>
      </c>
      <c r="F650" s="99">
        <v>19</v>
      </c>
      <c r="G650" s="99">
        <v>72</v>
      </c>
      <c r="H650" s="418"/>
      <c r="I650" s="99">
        <v>722</v>
      </c>
      <c r="J650" s="101"/>
      <c r="K650" s="102"/>
      <c r="L650" s="102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</row>
    <row r="651" spans="1:863" ht="15.75" customHeight="1" x14ac:dyDescent="0.25">
      <c r="A651" s="390">
        <v>43378</v>
      </c>
      <c r="B651" s="384" t="s">
        <v>445</v>
      </c>
      <c r="C651" s="99" t="s">
        <v>139</v>
      </c>
      <c r="D651" s="99" t="s">
        <v>30</v>
      </c>
      <c r="E651" s="99" t="s">
        <v>138</v>
      </c>
      <c r="F651" s="99">
        <v>26</v>
      </c>
      <c r="G651" s="99">
        <v>144</v>
      </c>
      <c r="H651" s="418"/>
      <c r="I651" s="99">
        <v>1444</v>
      </c>
      <c r="J651" s="101"/>
      <c r="K651" s="102"/>
      <c r="L651" s="102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</row>
    <row r="652" spans="1:863" ht="15.75" customHeight="1" x14ac:dyDescent="0.25">
      <c r="A652" s="390">
        <v>43378</v>
      </c>
      <c r="B652" s="384" t="s">
        <v>445</v>
      </c>
      <c r="C652" s="99" t="s">
        <v>139</v>
      </c>
      <c r="D652" s="99" t="s">
        <v>30</v>
      </c>
      <c r="E652" s="99" t="s">
        <v>138</v>
      </c>
      <c r="F652" s="99">
        <v>21</v>
      </c>
      <c r="G652" s="99">
        <v>36</v>
      </c>
      <c r="H652" s="418"/>
      <c r="I652" s="99">
        <v>361</v>
      </c>
      <c r="J652" s="101"/>
      <c r="K652" s="102"/>
      <c r="L652" s="10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</row>
    <row r="653" spans="1:863" ht="15.75" customHeight="1" x14ac:dyDescent="0.25">
      <c r="A653" s="390">
        <v>43378</v>
      </c>
      <c r="B653" s="384" t="s">
        <v>446</v>
      </c>
      <c r="C653" s="99" t="s">
        <v>139</v>
      </c>
      <c r="D653" s="99" t="s">
        <v>30</v>
      </c>
      <c r="E653" s="99" t="s">
        <v>138</v>
      </c>
      <c r="F653" s="102">
        <v>21</v>
      </c>
      <c r="G653" s="102">
        <v>144</v>
      </c>
      <c r="H653" s="418">
        <v>3580</v>
      </c>
      <c r="I653" s="102">
        <v>1432</v>
      </c>
      <c r="J653" s="101"/>
      <c r="K653" s="102"/>
      <c r="L653" s="102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</row>
    <row r="654" spans="1:863" ht="15.75" customHeight="1" x14ac:dyDescent="0.25">
      <c r="A654" s="390">
        <v>43378</v>
      </c>
      <c r="B654" s="384" t="s">
        <v>446</v>
      </c>
      <c r="C654" s="99" t="s">
        <v>139</v>
      </c>
      <c r="D654" s="99" t="s">
        <v>30</v>
      </c>
      <c r="E654" s="99" t="s">
        <v>138</v>
      </c>
      <c r="F654" s="102">
        <v>20</v>
      </c>
      <c r="G654" s="102">
        <v>180</v>
      </c>
      <c r="H654" s="418"/>
      <c r="I654" s="102">
        <v>1790</v>
      </c>
      <c r="J654" s="101"/>
      <c r="K654" s="102"/>
      <c r="L654" s="102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</row>
    <row r="655" spans="1:863" ht="15.75" customHeight="1" x14ac:dyDescent="0.25">
      <c r="A655" s="390">
        <v>43378</v>
      </c>
      <c r="B655" s="384" t="s">
        <v>446</v>
      </c>
      <c r="C655" s="99" t="s">
        <v>139</v>
      </c>
      <c r="D655" s="99" t="s">
        <v>30</v>
      </c>
      <c r="E655" s="99" t="s">
        <v>138</v>
      </c>
      <c r="F655" s="102">
        <v>19</v>
      </c>
      <c r="G655" s="102">
        <v>36</v>
      </c>
      <c r="H655" s="418"/>
      <c r="I655" s="102">
        <v>358</v>
      </c>
      <c r="J655" s="101"/>
      <c r="K655" s="102"/>
      <c r="L655" s="102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</row>
    <row r="656" spans="1:863" ht="15" customHeight="1" x14ac:dyDescent="0.25">
      <c r="A656" s="390">
        <v>43378</v>
      </c>
      <c r="B656" s="384" t="s">
        <v>447</v>
      </c>
      <c r="C656" s="99" t="s">
        <v>139</v>
      </c>
      <c r="D656" s="99" t="s">
        <v>30</v>
      </c>
      <c r="E656" s="99" t="s">
        <v>138</v>
      </c>
      <c r="F656" s="102">
        <v>26</v>
      </c>
      <c r="G656" s="102">
        <v>144</v>
      </c>
      <c r="H656" s="418">
        <v>3620</v>
      </c>
      <c r="I656" s="102">
        <v>1448</v>
      </c>
      <c r="J656" s="101"/>
      <c r="K656" s="102"/>
      <c r="L656" s="102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</row>
    <row r="657" spans="1:863" ht="15" customHeight="1" x14ac:dyDescent="0.25">
      <c r="A657" s="390">
        <v>43378</v>
      </c>
      <c r="B657" s="384" t="s">
        <v>447</v>
      </c>
      <c r="C657" s="99" t="s">
        <v>139</v>
      </c>
      <c r="D657" s="99" t="s">
        <v>30</v>
      </c>
      <c r="E657" s="99" t="s">
        <v>138</v>
      </c>
      <c r="F657" s="102">
        <v>19</v>
      </c>
      <c r="G657" s="102">
        <v>216</v>
      </c>
      <c r="H657" s="418"/>
      <c r="I657" s="102">
        <v>2172</v>
      </c>
      <c r="J657" s="101"/>
      <c r="K657" s="102"/>
      <c r="L657" s="102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</row>
    <row r="658" spans="1:863" ht="15" customHeight="1" x14ac:dyDescent="0.25">
      <c r="A658" s="390">
        <v>43378</v>
      </c>
      <c r="B658" s="384" t="s">
        <v>448</v>
      </c>
      <c r="C658" s="99" t="s">
        <v>139</v>
      </c>
      <c r="D658" s="99" t="s">
        <v>30</v>
      </c>
      <c r="E658" s="99" t="s">
        <v>138</v>
      </c>
      <c r="F658" s="102">
        <v>20</v>
      </c>
      <c r="G658" s="102">
        <v>180</v>
      </c>
      <c r="H658" s="418">
        <v>3650</v>
      </c>
      <c r="I658" s="102">
        <v>1825</v>
      </c>
      <c r="J658" s="101"/>
      <c r="K658" s="102"/>
      <c r="L658" s="102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</row>
    <row r="659" spans="1:863" ht="15.75" customHeight="1" x14ac:dyDescent="0.25">
      <c r="A659" s="390">
        <v>43378</v>
      </c>
      <c r="B659" s="384" t="s">
        <v>448</v>
      </c>
      <c r="C659" s="99" t="s">
        <v>139</v>
      </c>
      <c r="D659" s="99" t="s">
        <v>30</v>
      </c>
      <c r="E659" s="99" t="s">
        <v>138</v>
      </c>
      <c r="F659" s="102">
        <v>19</v>
      </c>
      <c r="G659" s="102">
        <v>180</v>
      </c>
      <c r="H659" s="418"/>
      <c r="I659" s="102">
        <v>1825</v>
      </c>
      <c r="J659" s="101"/>
      <c r="K659" s="102"/>
      <c r="L659" s="102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</row>
    <row r="660" spans="1:863" ht="15.75" customHeight="1" x14ac:dyDescent="0.25">
      <c r="A660" s="390">
        <v>43378</v>
      </c>
      <c r="B660" s="384" t="s">
        <v>449</v>
      </c>
      <c r="C660" s="99" t="s">
        <v>139</v>
      </c>
      <c r="D660" s="99" t="s">
        <v>30</v>
      </c>
      <c r="E660" s="99" t="s">
        <v>138</v>
      </c>
      <c r="F660" s="102">
        <v>19</v>
      </c>
      <c r="G660" s="102">
        <v>144</v>
      </c>
      <c r="H660" s="418">
        <v>3580</v>
      </c>
      <c r="I660" s="102">
        <v>1432</v>
      </c>
      <c r="J660" s="101"/>
      <c r="K660" s="102"/>
      <c r="L660" s="102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</row>
    <row r="661" spans="1:863" ht="15.75" customHeight="1" x14ac:dyDescent="0.25">
      <c r="A661" s="390">
        <v>43378</v>
      </c>
      <c r="B661" s="384" t="s">
        <v>449</v>
      </c>
      <c r="C661" s="99" t="s">
        <v>139</v>
      </c>
      <c r="D661" s="99" t="s">
        <v>30</v>
      </c>
      <c r="E661" s="99" t="s">
        <v>138</v>
      </c>
      <c r="F661" s="102">
        <v>20</v>
      </c>
      <c r="G661" s="102">
        <v>216</v>
      </c>
      <c r="H661" s="418"/>
      <c r="I661" s="102">
        <v>2148</v>
      </c>
      <c r="J661" s="101"/>
      <c r="K661" s="102"/>
      <c r="L661" s="102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</row>
    <row r="662" spans="1:863" ht="15.75" customHeight="1" x14ac:dyDescent="0.25">
      <c r="A662" s="390">
        <v>43378</v>
      </c>
      <c r="B662" s="384" t="s">
        <v>450</v>
      </c>
      <c r="C662" s="99" t="s">
        <v>139</v>
      </c>
      <c r="D662" s="99" t="s">
        <v>30</v>
      </c>
      <c r="E662" s="99" t="s">
        <v>138</v>
      </c>
      <c r="F662" s="102">
        <v>19</v>
      </c>
      <c r="G662" s="102">
        <v>216</v>
      </c>
      <c r="H662" s="418">
        <v>3520</v>
      </c>
      <c r="I662" s="102">
        <v>2112</v>
      </c>
      <c r="J662" s="101"/>
      <c r="K662" s="102"/>
      <c r="L662" s="10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</row>
    <row r="663" spans="1:863" ht="15.75" customHeight="1" x14ac:dyDescent="0.25">
      <c r="A663" s="390">
        <v>43378</v>
      </c>
      <c r="B663" s="384" t="s">
        <v>450</v>
      </c>
      <c r="C663" s="99" t="s">
        <v>139</v>
      </c>
      <c r="D663" s="99" t="s">
        <v>30</v>
      </c>
      <c r="E663" s="99" t="s">
        <v>138</v>
      </c>
      <c r="F663" s="102">
        <v>26</v>
      </c>
      <c r="G663" s="102">
        <v>144</v>
      </c>
      <c r="H663" s="418"/>
      <c r="I663" s="102">
        <v>1408</v>
      </c>
      <c r="J663" s="101"/>
      <c r="K663" s="102"/>
      <c r="L663" s="102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</row>
    <row r="664" spans="1:863" ht="15" customHeight="1" x14ac:dyDescent="0.25">
      <c r="A664" s="390">
        <v>43378</v>
      </c>
      <c r="B664" s="384" t="s">
        <v>451</v>
      </c>
      <c r="C664" s="99" t="s">
        <v>139</v>
      </c>
      <c r="D664" s="99" t="s">
        <v>30</v>
      </c>
      <c r="E664" s="99" t="s">
        <v>138</v>
      </c>
      <c r="F664" s="102">
        <v>18</v>
      </c>
      <c r="G664" s="102">
        <v>216</v>
      </c>
      <c r="H664" s="418">
        <v>3590</v>
      </c>
      <c r="I664" s="102">
        <v>2154</v>
      </c>
      <c r="J664" s="101"/>
      <c r="K664" s="102"/>
      <c r="L664" s="102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</row>
    <row r="665" spans="1:863" ht="15" customHeight="1" x14ac:dyDescent="0.25">
      <c r="A665" s="390">
        <v>43378</v>
      </c>
      <c r="B665" s="384" t="s">
        <v>451</v>
      </c>
      <c r="C665" s="99" t="s">
        <v>139</v>
      </c>
      <c r="D665" s="99" t="s">
        <v>30</v>
      </c>
      <c r="E665" s="99" t="s">
        <v>138</v>
      </c>
      <c r="F665" s="102">
        <v>20</v>
      </c>
      <c r="G665" s="102">
        <v>36</v>
      </c>
      <c r="H665" s="418"/>
      <c r="I665" s="102">
        <v>359</v>
      </c>
      <c r="J665" s="101"/>
      <c r="K665" s="102"/>
      <c r="L665" s="102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</row>
    <row r="666" spans="1:863" ht="15.75" customHeight="1" x14ac:dyDescent="0.25">
      <c r="A666" s="390">
        <v>43378</v>
      </c>
      <c r="B666" s="384" t="s">
        <v>451</v>
      </c>
      <c r="C666" s="99" t="s">
        <v>139</v>
      </c>
      <c r="D666" s="99" t="s">
        <v>30</v>
      </c>
      <c r="E666" s="99" t="s">
        <v>138</v>
      </c>
      <c r="F666" s="102">
        <v>19</v>
      </c>
      <c r="G666" s="102">
        <v>108</v>
      </c>
      <c r="H666" s="418"/>
      <c r="I666" s="102">
        <v>1077</v>
      </c>
      <c r="J666" s="101"/>
      <c r="K666" s="102"/>
      <c r="L666" s="102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</row>
    <row r="667" spans="1:863" ht="15.75" customHeight="1" x14ac:dyDescent="0.25">
      <c r="A667" s="390">
        <v>43378</v>
      </c>
      <c r="B667" s="384" t="s">
        <v>452</v>
      </c>
      <c r="C667" s="99" t="s">
        <v>139</v>
      </c>
      <c r="D667" s="99" t="s">
        <v>30</v>
      </c>
      <c r="E667" s="99" t="s">
        <v>138</v>
      </c>
      <c r="F667" s="102">
        <v>19</v>
      </c>
      <c r="G667" s="102">
        <v>180</v>
      </c>
      <c r="H667" s="418">
        <v>3540</v>
      </c>
      <c r="I667" s="102">
        <v>1770</v>
      </c>
      <c r="J667" s="101"/>
      <c r="K667" s="102"/>
      <c r="L667" s="102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</row>
    <row r="668" spans="1:863" ht="15.75" customHeight="1" x14ac:dyDescent="0.25">
      <c r="A668" s="390">
        <v>43378</v>
      </c>
      <c r="B668" s="384" t="s">
        <v>452</v>
      </c>
      <c r="C668" s="99" t="s">
        <v>139</v>
      </c>
      <c r="D668" s="99" t="s">
        <v>30</v>
      </c>
      <c r="E668" s="99" t="s">
        <v>138</v>
      </c>
      <c r="F668" s="102">
        <v>18</v>
      </c>
      <c r="G668" s="102">
        <v>72</v>
      </c>
      <c r="H668" s="418"/>
      <c r="I668" s="102">
        <v>708</v>
      </c>
      <c r="J668" s="101"/>
      <c r="K668" s="102"/>
      <c r="L668" s="102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</row>
    <row r="669" spans="1:863" ht="15.75" customHeight="1" x14ac:dyDescent="0.25">
      <c r="A669" s="390">
        <v>43378</v>
      </c>
      <c r="B669" s="384" t="s">
        <v>452</v>
      </c>
      <c r="C669" s="99" t="s">
        <v>139</v>
      </c>
      <c r="D669" s="99" t="s">
        <v>30</v>
      </c>
      <c r="E669" s="99" t="s">
        <v>138</v>
      </c>
      <c r="F669" s="102">
        <v>20</v>
      </c>
      <c r="G669" s="102">
        <v>108</v>
      </c>
      <c r="H669" s="418"/>
      <c r="I669" s="102">
        <v>1662</v>
      </c>
      <c r="J669" s="101"/>
      <c r="K669" s="102"/>
      <c r="L669" s="102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</row>
    <row r="670" spans="1:863" ht="15" customHeight="1" x14ac:dyDescent="0.25">
      <c r="A670" s="390">
        <v>43378</v>
      </c>
      <c r="B670" s="384" t="s">
        <v>453</v>
      </c>
      <c r="C670" s="99" t="s">
        <v>139</v>
      </c>
      <c r="D670" s="99" t="s">
        <v>30</v>
      </c>
      <c r="E670" s="99" t="s">
        <v>138</v>
      </c>
      <c r="F670" s="102">
        <v>26</v>
      </c>
      <c r="G670" s="102">
        <v>180</v>
      </c>
      <c r="H670" s="418">
        <v>3610</v>
      </c>
      <c r="I670" s="102">
        <v>1805</v>
      </c>
      <c r="J670" s="101"/>
      <c r="K670" s="102"/>
      <c r="L670" s="102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</row>
    <row r="671" spans="1:863" ht="15" customHeight="1" x14ac:dyDescent="0.25">
      <c r="A671" s="390">
        <v>43378</v>
      </c>
      <c r="B671" s="384" t="s">
        <v>453</v>
      </c>
      <c r="C671" s="99" t="s">
        <v>139</v>
      </c>
      <c r="D671" s="99" t="s">
        <v>30</v>
      </c>
      <c r="E671" s="99" t="s">
        <v>138</v>
      </c>
      <c r="F671" s="102">
        <v>19</v>
      </c>
      <c r="G671" s="102">
        <v>180</v>
      </c>
      <c r="H671" s="418"/>
      <c r="I671" s="102">
        <v>1805</v>
      </c>
      <c r="J671" s="101"/>
      <c r="K671" s="102"/>
      <c r="L671" s="102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</row>
    <row r="672" spans="1:863" ht="15" customHeight="1" x14ac:dyDescent="0.25">
      <c r="A672" s="390">
        <v>43378</v>
      </c>
      <c r="B672" s="384" t="s">
        <v>454</v>
      </c>
      <c r="C672" s="99" t="s">
        <v>139</v>
      </c>
      <c r="D672" s="99" t="s">
        <v>30</v>
      </c>
      <c r="E672" s="99" t="s">
        <v>138</v>
      </c>
      <c r="F672" s="102">
        <v>19</v>
      </c>
      <c r="G672" s="102">
        <v>108</v>
      </c>
      <c r="H672" s="418">
        <v>3690</v>
      </c>
      <c r="I672" s="102">
        <v>1107</v>
      </c>
      <c r="J672" s="101"/>
      <c r="K672" s="102"/>
      <c r="L672" s="10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</row>
    <row r="673" spans="1:863" ht="15" customHeight="1" x14ac:dyDescent="0.25">
      <c r="A673" s="390">
        <v>43378</v>
      </c>
      <c r="B673" s="384" t="s">
        <v>454</v>
      </c>
      <c r="C673" s="99" t="s">
        <v>139</v>
      </c>
      <c r="D673" s="99" t="s">
        <v>30</v>
      </c>
      <c r="E673" s="99" t="s">
        <v>138</v>
      </c>
      <c r="F673" s="102">
        <v>21</v>
      </c>
      <c r="G673" s="102">
        <v>144</v>
      </c>
      <c r="H673" s="418"/>
      <c r="I673" s="102">
        <v>1476</v>
      </c>
      <c r="J673" s="101"/>
      <c r="K673" s="102"/>
      <c r="L673" s="102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</row>
    <row r="674" spans="1:863" ht="15.75" customHeight="1" x14ac:dyDescent="0.25">
      <c r="A674" s="390">
        <v>43378</v>
      </c>
      <c r="B674" s="384" t="s">
        <v>454</v>
      </c>
      <c r="C674" s="99" t="s">
        <v>139</v>
      </c>
      <c r="D674" s="99" t="s">
        <v>30</v>
      </c>
      <c r="E674" s="99" t="s">
        <v>138</v>
      </c>
      <c r="F674" s="102">
        <v>26</v>
      </c>
      <c r="G674" s="102">
        <v>108</v>
      </c>
      <c r="H674" s="418"/>
      <c r="I674" s="102">
        <v>1107</v>
      </c>
      <c r="J674" s="101"/>
      <c r="K674" s="102"/>
      <c r="L674" s="102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</row>
    <row r="675" spans="1:863" ht="15.75" customHeight="1" x14ac:dyDescent="0.25">
      <c r="A675" s="390">
        <v>43378</v>
      </c>
      <c r="B675" s="384" t="s">
        <v>455</v>
      </c>
      <c r="C675" s="99" t="s">
        <v>139</v>
      </c>
      <c r="D675" s="99" t="s">
        <v>30</v>
      </c>
      <c r="E675" s="99" t="s">
        <v>138</v>
      </c>
      <c r="F675" s="102">
        <v>21</v>
      </c>
      <c r="G675" s="102">
        <v>72</v>
      </c>
      <c r="H675" s="418">
        <v>3660</v>
      </c>
      <c r="I675" s="102">
        <v>732</v>
      </c>
      <c r="J675" s="101"/>
      <c r="K675" s="102"/>
      <c r="L675" s="102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</row>
    <row r="676" spans="1:863" ht="15.75" customHeight="1" x14ac:dyDescent="0.25">
      <c r="A676" s="390">
        <v>43378</v>
      </c>
      <c r="B676" s="384" t="s">
        <v>455</v>
      </c>
      <c r="C676" s="99" t="s">
        <v>139</v>
      </c>
      <c r="D676" s="99" t="s">
        <v>30</v>
      </c>
      <c r="E676" s="99" t="s">
        <v>138</v>
      </c>
      <c r="F676" s="102">
        <v>18</v>
      </c>
      <c r="G676" s="102">
        <v>144</v>
      </c>
      <c r="H676" s="418"/>
      <c r="I676" s="102">
        <v>1464</v>
      </c>
      <c r="J676" s="101"/>
      <c r="K676" s="102"/>
      <c r="L676" s="102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</row>
    <row r="677" spans="1:863" ht="15.75" customHeight="1" x14ac:dyDescent="0.25">
      <c r="A677" s="390">
        <v>43378</v>
      </c>
      <c r="B677" s="384" t="s">
        <v>455</v>
      </c>
      <c r="C677" s="99" t="s">
        <v>139</v>
      </c>
      <c r="D677" s="99" t="s">
        <v>30</v>
      </c>
      <c r="E677" s="99" t="s">
        <v>138</v>
      </c>
      <c r="F677" s="102">
        <v>20</v>
      </c>
      <c r="G677" s="102">
        <v>144</v>
      </c>
      <c r="H677" s="418"/>
      <c r="I677" s="102">
        <v>1464</v>
      </c>
      <c r="J677" s="101"/>
      <c r="K677" s="102"/>
      <c r="L677" s="102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</row>
    <row r="678" spans="1:863" ht="15.75" customHeight="1" x14ac:dyDescent="0.25">
      <c r="A678" s="390">
        <v>43378</v>
      </c>
      <c r="B678" s="384" t="s">
        <v>456</v>
      </c>
      <c r="C678" s="99" t="s">
        <v>139</v>
      </c>
      <c r="D678" s="99" t="s">
        <v>30</v>
      </c>
      <c r="E678" s="99" t="s">
        <v>138</v>
      </c>
      <c r="F678" s="102">
        <v>26</v>
      </c>
      <c r="G678" s="102">
        <v>288</v>
      </c>
      <c r="H678" s="418">
        <v>3630</v>
      </c>
      <c r="I678" s="102">
        <v>2904</v>
      </c>
      <c r="J678" s="101"/>
      <c r="K678" s="102"/>
      <c r="L678" s="102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</row>
    <row r="679" spans="1:863" ht="15.75" customHeight="1" x14ac:dyDescent="0.25">
      <c r="A679" s="390">
        <v>43378</v>
      </c>
      <c r="B679" s="384" t="s">
        <v>456</v>
      </c>
      <c r="C679" s="99" t="s">
        <v>139</v>
      </c>
      <c r="D679" s="99" t="s">
        <v>30</v>
      </c>
      <c r="E679" s="99" t="s">
        <v>138</v>
      </c>
      <c r="F679" s="102">
        <v>21</v>
      </c>
      <c r="G679" s="102">
        <v>36</v>
      </c>
      <c r="H679" s="418"/>
      <c r="I679" s="102">
        <v>363</v>
      </c>
      <c r="J679" s="101"/>
      <c r="K679" s="102"/>
      <c r="L679" s="102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</row>
    <row r="680" spans="1:863" ht="15.75" customHeight="1" x14ac:dyDescent="0.25">
      <c r="A680" s="390">
        <v>43378</v>
      </c>
      <c r="B680" s="384" t="s">
        <v>456</v>
      </c>
      <c r="C680" s="99" t="s">
        <v>139</v>
      </c>
      <c r="D680" s="99" t="s">
        <v>30</v>
      </c>
      <c r="E680" s="99" t="s">
        <v>138</v>
      </c>
      <c r="F680" s="102">
        <v>20</v>
      </c>
      <c r="G680" s="102">
        <v>36</v>
      </c>
      <c r="H680" s="418"/>
      <c r="I680" s="102">
        <v>363</v>
      </c>
      <c r="J680" s="101"/>
      <c r="K680" s="102"/>
      <c r="L680" s="102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</row>
    <row r="681" spans="1:863" ht="15.75" customHeight="1" x14ac:dyDescent="0.25">
      <c r="A681" s="390">
        <v>43378</v>
      </c>
      <c r="B681" s="384" t="s">
        <v>457</v>
      </c>
      <c r="C681" s="99" t="s">
        <v>139</v>
      </c>
      <c r="D681" s="99" t="s">
        <v>30</v>
      </c>
      <c r="E681" s="99" t="s">
        <v>138</v>
      </c>
      <c r="F681" s="102">
        <v>26</v>
      </c>
      <c r="G681" s="102">
        <v>144</v>
      </c>
      <c r="H681" s="418">
        <v>3750</v>
      </c>
      <c r="I681" s="102">
        <v>1500</v>
      </c>
      <c r="J681" s="101"/>
      <c r="K681" s="102"/>
      <c r="L681" s="102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</row>
    <row r="682" spans="1:863" ht="15.75" customHeight="1" x14ac:dyDescent="0.25">
      <c r="A682" s="390">
        <v>43378</v>
      </c>
      <c r="B682" s="384" t="s">
        <v>457</v>
      </c>
      <c r="C682" s="99" t="s">
        <v>139</v>
      </c>
      <c r="D682" s="99" t="s">
        <v>30</v>
      </c>
      <c r="E682" s="99" t="s">
        <v>138</v>
      </c>
      <c r="F682" s="102">
        <v>19</v>
      </c>
      <c r="G682" s="102">
        <v>180</v>
      </c>
      <c r="H682" s="418"/>
      <c r="I682" s="102">
        <v>1875</v>
      </c>
      <c r="J682" s="101"/>
      <c r="K682" s="102"/>
      <c r="L682" s="10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</row>
    <row r="683" spans="1:863" ht="15.75" customHeight="1" x14ac:dyDescent="0.25">
      <c r="A683" s="390">
        <v>43378</v>
      </c>
      <c r="B683" s="384" t="s">
        <v>457</v>
      </c>
      <c r="C683" s="99" t="s">
        <v>139</v>
      </c>
      <c r="D683" s="99" t="s">
        <v>30</v>
      </c>
      <c r="E683" s="99" t="s">
        <v>138</v>
      </c>
      <c r="F683" s="102">
        <v>18</v>
      </c>
      <c r="G683" s="102">
        <v>36</v>
      </c>
      <c r="H683" s="418"/>
      <c r="I683" s="102">
        <v>375</v>
      </c>
      <c r="J683" s="101"/>
      <c r="K683" s="102"/>
      <c r="L683" s="102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</row>
    <row r="684" spans="1:863" ht="15.75" customHeight="1" x14ac:dyDescent="0.25">
      <c r="A684" s="390">
        <v>43378</v>
      </c>
      <c r="B684" s="384" t="s">
        <v>458</v>
      </c>
      <c r="C684" s="99" t="s">
        <v>139</v>
      </c>
      <c r="D684" s="99" t="s">
        <v>30</v>
      </c>
      <c r="E684" s="99" t="s">
        <v>138</v>
      </c>
      <c r="F684" s="102">
        <v>18</v>
      </c>
      <c r="G684" s="102">
        <v>252</v>
      </c>
      <c r="H684" s="418">
        <v>3520</v>
      </c>
      <c r="I684" s="102">
        <v>2464</v>
      </c>
      <c r="J684" s="101"/>
      <c r="K684" s="102"/>
      <c r="L684" s="102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</row>
    <row r="685" spans="1:863" ht="15.75" customHeight="1" x14ac:dyDescent="0.25">
      <c r="A685" s="390">
        <v>43378</v>
      </c>
      <c r="B685" s="384" t="s">
        <v>458</v>
      </c>
      <c r="C685" s="99" t="s">
        <v>139</v>
      </c>
      <c r="D685" s="99" t="s">
        <v>30</v>
      </c>
      <c r="E685" s="99" t="s">
        <v>138</v>
      </c>
      <c r="F685" s="102">
        <v>26</v>
      </c>
      <c r="G685" s="102">
        <v>72</v>
      </c>
      <c r="H685" s="418"/>
      <c r="I685" s="102">
        <v>704</v>
      </c>
      <c r="J685" s="101"/>
      <c r="K685" s="102"/>
      <c r="L685" s="102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</row>
    <row r="686" spans="1:863" ht="15.75" customHeight="1" x14ac:dyDescent="0.25">
      <c r="A686" s="390">
        <v>43378</v>
      </c>
      <c r="B686" s="384" t="s">
        <v>458</v>
      </c>
      <c r="C686" s="99" t="s">
        <v>139</v>
      </c>
      <c r="D686" s="99" t="s">
        <v>30</v>
      </c>
      <c r="E686" s="99" t="s">
        <v>138</v>
      </c>
      <c r="F686" s="102">
        <v>20</v>
      </c>
      <c r="G686" s="102">
        <v>36</v>
      </c>
      <c r="H686" s="418"/>
      <c r="I686" s="102">
        <v>352</v>
      </c>
      <c r="J686" s="101"/>
      <c r="K686" s="102"/>
      <c r="L686" s="102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</row>
    <row r="687" spans="1:863" ht="15.75" customHeight="1" x14ac:dyDescent="0.25">
      <c r="A687" s="390">
        <v>43378</v>
      </c>
      <c r="B687" s="384" t="s">
        <v>459</v>
      </c>
      <c r="C687" s="99" t="s">
        <v>139</v>
      </c>
      <c r="D687" s="99" t="s">
        <v>30</v>
      </c>
      <c r="E687" s="99" t="s">
        <v>138</v>
      </c>
      <c r="F687" s="102">
        <v>18</v>
      </c>
      <c r="G687" s="102">
        <v>108</v>
      </c>
      <c r="H687" s="418">
        <v>3700</v>
      </c>
      <c r="I687" s="102">
        <v>1110</v>
      </c>
      <c r="J687" s="101"/>
      <c r="K687" s="102"/>
      <c r="L687" s="102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</row>
    <row r="688" spans="1:863" ht="15.75" customHeight="1" x14ac:dyDescent="0.25">
      <c r="A688" s="390">
        <v>43378</v>
      </c>
      <c r="B688" s="384" t="s">
        <v>459</v>
      </c>
      <c r="C688" s="99" t="s">
        <v>139</v>
      </c>
      <c r="D688" s="99" t="s">
        <v>30</v>
      </c>
      <c r="E688" s="99" t="s">
        <v>138</v>
      </c>
      <c r="F688" s="102">
        <v>26</v>
      </c>
      <c r="G688" s="102">
        <v>144</v>
      </c>
      <c r="H688" s="418"/>
      <c r="I688" s="102">
        <v>1480</v>
      </c>
      <c r="J688" s="101"/>
      <c r="K688" s="102"/>
      <c r="L688" s="102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</row>
    <row r="689" spans="1:863" ht="15.75" customHeight="1" x14ac:dyDescent="0.25">
      <c r="A689" s="390">
        <v>43378</v>
      </c>
      <c r="B689" s="384" t="s">
        <v>459</v>
      </c>
      <c r="C689" s="99" t="s">
        <v>139</v>
      </c>
      <c r="D689" s="99" t="s">
        <v>30</v>
      </c>
      <c r="E689" s="99" t="s">
        <v>138</v>
      </c>
      <c r="F689" s="102">
        <v>21</v>
      </c>
      <c r="G689" s="102">
        <v>108</v>
      </c>
      <c r="H689" s="418"/>
      <c r="I689" s="102">
        <v>1110</v>
      </c>
      <c r="J689" s="101"/>
      <c r="K689" s="102"/>
      <c r="L689" s="102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</row>
    <row r="690" spans="1:863" ht="15" customHeight="1" x14ac:dyDescent="0.25">
      <c r="A690" s="390">
        <v>43378</v>
      </c>
      <c r="B690" s="384" t="s">
        <v>460</v>
      </c>
      <c r="C690" s="99" t="s">
        <v>139</v>
      </c>
      <c r="D690" s="99" t="s">
        <v>30</v>
      </c>
      <c r="E690" s="99" t="s">
        <v>138</v>
      </c>
      <c r="F690" s="102">
        <v>26</v>
      </c>
      <c r="G690" s="102">
        <v>216</v>
      </c>
      <c r="H690" s="418">
        <v>3530</v>
      </c>
      <c r="I690" s="102">
        <v>2118</v>
      </c>
      <c r="J690" s="101"/>
      <c r="K690" s="102"/>
      <c r="L690" s="102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</row>
    <row r="691" spans="1:863" ht="15" customHeight="1" x14ac:dyDescent="0.25">
      <c r="A691" s="390">
        <v>43378</v>
      </c>
      <c r="B691" s="384" t="s">
        <v>460</v>
      </c>
      <c r="C691" s="99" t="s">
        <v>139</v>
      </c>
      <c r="D691" s="99" t="s">
        <v>30</v>
      </c>
      <c r="E691" s="99" t="s">
        <v>138</v>
      </c>
      <c r="F691" s="102">
        <v>20</v>
      </c>
      <c r="G691" s="102">
        <v>144</v>
      </c>
      <c r="H691" s="418"/>
      <c r="I691" s="102">
        <v>1412</v>
      </c>
      <c r="J691" s="101"/>
      <c r="K691" s="102"/>
      <c r="L691" s="102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</row>
    <row r="692" spans="1:863" ht="15" customHeight="1" x14ac:dyDescent="0.25">
      <c r="A692" s="390">
        <v>43378</v>
      </c>
      <c r="B692" s="384" t="s">
        <v>461</v>
      </c>
      <c r="C692" s="99" t="s">
        <v>139</v>
      </c>
      <c r="D692" s="99" t="s">
        <v>30</v>
      </c>
      <c r="E692" s="99" t="s">
        <v>138</v>
      </c>
      <c r="F692" s="102">
        <v>18</v>
      </c>
      <c r="G692" s="102">
        <v>252</v>
      </c>
      <c r="H692" s="418">
        <v>3700</v>
      </c>
      <c r="I692" s="102">
        <v>2590</v>
      </c>
      <c r="J692" s="101"/>
      <c r="K692" s="102"/>
      <c r="L692" s="10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</row>
    <row r="693" spans="1:863" ht="15" customHeight="1" x14ac:dyDescent="0.25">
      <c r="A693" s="390">
        <v>43378</v>
      </c>
      <c r="B693" s="384" t="s">
        <v>461</v>
      </c>
      <c r="C693" s="99" t="s">
        <v>139</v>
      </c>
      <c r="D693" s="99" t="s">
        <v>30</v>
      </c>
      <c r="E693" s="99" t="s">
        <v>138</v>
      </c>
      <c r="F693" s="102">
        <v>21</v>
      </c>
      <c r="G693" s="102">
        <v>36</v>
      </c>
      <c r="H693" s="418"/>
      <c r="I693" s="102">
        <v>370</v>
      </c>
      <c r="J693" s="101"/>
      <c r="K693" s="102"/>
      <c r="L693" s="102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</row>
    <row r="694" spans="1:863" ht="15" customHeight="1" x14ac:dyDescent="0.25">
      <c r="A694" s="390">
        <v>43378</v>
      </c>
      <c r="B694" s="384" t="s">
        <v>461</v>
      </c>
      <c r="C694" s="99" t="s">
        <v>139</v>
      </c>
      <c r="D694" s="99" t="s">
        <v>30</v>
      </c>
      <c r="E694" s="99" t="s">
        <v>138</v>
      </c>
      <c r="F694" s="102">
        <v>26</v>
      </c>
      <c r="G694" s="102">
        <v>72</v>
      </c>
      <c r="H694" s="418"/>
      <c r="I694" s="102">
        <v>740</v>
      </c>
      <c r="J694" s="101"/>
      <c r="K694" s="102"/>
      <c r="L694" s="102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</row>
    <row r="695" spans="1:863" ht="15" customHeight="1" x14ac:dyDescent="0.25">
      <c r="A695" s="390">
        <v>43378</v>
      </c>
      <c r="B695" s="384" t="s">
        <v>462</v>
      </c>
      <c r="C695" s="99" t="s">
        <v>139</v>
      </c>
      <c r="D695" s="99" t="s">
        <v>30</v>
      </c>
      <c r="E695" s="99" t="s">
        <v>138</v>
      </c>
      <c r="F695" s="102">
        <v>18</v>
      </c>
      <c r="G695" s="102">
        <v>108</v>
      </c>
      <c r="H695" s="418">
        <v>3610</v>
      </c>
      <c r="I695" s="102">
        <v>1083</v>
      </c>
      <c r="J695" s="101"/>
      <c r="K695" s="102"/>
      <c r="L695" s="102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</row>
    <row r="696" spans="1:863" ht="15" customHeight="1" x14ac:dyDescent="0.25">
      <c r="A696" s="390">
        <v>43378</v>
      </c>
      <c r="B696" s="384" t="s">
        <v>462</v>
      </c>
      <c r="C696" s="99" t="s">
        <v>139</v>
      </c>
      <c r="D696" s="99" t="s">
        <v>30</v>
      </c>
      <c r="E696" s="99" t="s">
        <v>138</v>
      </c>
      <c r="F696" s="102">
        <v>21</v>
      </c>
      <c r="G696" s="102">
        <v>108</v>
      </c>
      <c r="H696" s="418"/>
      <c r="I696" s="102">
        <v>1083</v>
      </c>
      <c r="J696" s="101"/>
      <c r="K696" s="102"/>
      <c r="L696" s="102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</row>
    <row r="697" spans="1:863" ht="15.75" customHeight="1" x14ac:dyDescent="0.25">
      <c r="A697" s="390">
        <v>43378</v>
      </c>
      <c r="B697" s="384" t="s">
        <v>462</v>
      </c>
      <c r="C697" s="99" t="s">
        <v>139</v>
      </c>
      <c r="D697" s="99" t="s">
        <v>30</v>
      </c>
      <c r="E697" s="99" t="s">
        <v>138</v>
      </c>
      <c r="F697" s="102">
        <v>26</v>
      </c>
      <c r="G697" s="102">
        <v>144</v>
      </c>
      <c r="H697" s="418"/>
      <c r="I697" s="102">
        <v>1444</v>
      </c>
      <c r="J697" s="101"/>
      <c r="K697" s="102"/>
      <c r="L697" s="102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</row>
    <row r="698" spans="1:863" ht="15.75" customHeight="1" x14ac:dyDescent="0.25">
      <c r="A698" s="390">
        <v>43378</v>
      </c>
      <c r="B698" s="384" t="s">
        <v>463</v>
      </c>
      <c r="C698" s="99" t="s">
        <v>139</v>
      </c>
      <c r="D698" s="99" t="s">
        <v>30</v>
      </c>
      <c r="E698" s="99" t="s">
        <v>138</v>
      </c>
      <c r="F698" s="102">
        <v>20</v>
      </c>
      <c r="G698" s="102">
        <v>108</v>
      </c>
      <c r="H698" s="418">
        <v>2790</v>
      </c>
      <c r="I698" s="102">
        <v>1195.5999999999999</v>
      </c>
      <c r="J698" s="101"/>
      <c r="K698" s="102"/>
      <c r="L698" s="102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</row>
    <row r="699" spans="1:863" ht="15.75" customHeight="1" x14ac:dyDescent="0.25">
      <c r="A699" s="390">
        <v>43378</v>
      </c>
      <c r="B699" s="384" t="s">
        <v>463</v>
      </c>
      <c r="C699" s="99" t="s">
        <v>139</v>
      </c>
      <c r="D699" s="99" t="s">
        <v>30</v>
      </c>
      <c r="E699" s="99" t="s">
        <v>138</v>
      </c>
      <c r="F699" s="102">
        <v>18</v>
      </c>
      <c r="G699" s="102">
        <v>36</v>
      </c>
      <c r="H699" s="418"/>
      <c r="I699" s="102">
        <v>398.6</v>
      </c>
      <c r="J699" s="101"/>
      <c r="K699" s="102"/>
      <c r="L699" s="102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</row>
    <row r="700" spans="1:863" ht="15" customHeight="1" x14ac:dyDescent="0.25">
      <c r="A700" s="390">
        <v>43378</v>
      </c>
      <c r="B700" s="384" t="s">
        <v>463</v>
      </c>
      <c r="C700" s="99" t="s">
        <v>139</v>
      </c>
      <c r="D700" s="99" t="s">
        <v>30</v>
      </c>
      <c r="E700" s="99" t="s">
        <v>138</v>
      </c>
      <c r="F700" s="102">
        <v>26</v>
      </c>
      <c r="G700" s="102">
        <v>72</v>
      </c>
      <c r="H700" s="418"/>
      <c r="I700" s="102">
        <v>797.2</v>
      </c>
      <c r="J700" s="101"/>
      <c r="K700" s="102"/>
      <c r="L700" s="102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</row>
    <row r="701" spans="1:863" ht="15" customHeight="1" x14ac:dyDescent="0.25">
      <c r="A701" s="390">
        <v>43378</v>
      </c>
      <c r="B701" s="384" t="s">
        <v>463</v>
      </c>
      <c r="C701" s="99" t="s">
        <v>139</v>
      </c>
      <c r="D701" s="99" t="s">
        <v>30</v>
      </c>
      <c r="E701" s="99" t="s">
        <v>138</v>
      </c>
      <c r="F701" s="102">
        <v>21</v>
      </c>
      <c r="G701" s="102">
        <v>36</v>
      </c>
      <c r="H701" s="418"/>
      <c r="I701" s="102">
        <v>398.6</v>
      </c>
      <c r="J701" s="101"/>
      <c r="K701" s="102"/>
      <c r="L701" s="102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</row>
    <row r="702" spans="1:863" ht="15" customHeight="1" x14ac:dyDescent="0.25">
      <c r="A702" s="390">
        <v>43378</v>
      </c>
      <c r="B702" s="386" t="s">
        <v>464</v>
      </c>
      <c r="C702" s="253" t="s">
        <v>139</v>
      </c>
      <c r="D702" s="253" t="s">
        <v>30</v>
      </c>
      <c r="E702" s="253" t="s">
        <v>138</v>
      </c>
      <c r="F702" s="254">
        <v>26</v>
      </c>
      <c r="G702" s="254">
        <v>36</v>
      </c>
      <c r="H702" s="419">
        <v>3460</v>
      </c>
      <c r="I702" s="254">
        <v>346</v>
      </c>
      <c r="J702" s="255"/>
      <c r="K702" s="315" t="s">
        <v>441</v>
      </c>
      <c r="L702" s="254"/>
      <c r="M702" s="255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</row>
    <row r="703" spans="1:863" ht="15" customHeight="1" x14ac:dyDescent="0.25">
      <c r="A703" s="390">
        <v>43378</v>
      </c>
      <c r="B703" s="386" t="s">
        <v>464</v>
      </c>
      <c r="C703" s="253" t="s">
        <v>139</v>
      </c>
      <c r="D703" s="253" t="s">
        <v>30</v>
      </c>
      <c r="E703" s="253" t="s">
        <v>138</v>
      </c>
      <c r="F703" s="254">
        <v>18</v>
      </c>
      <c r="G703" s="254">
        <v>3324</v>
      </c>
      <c r="H703" s="419"/>
      <c r="I703" s="254">
        <v>3114</v>
      </c>
      <c r="J703" s="255"/>
      <c r="K703" s="315" t="s">
        <v>441</v>
      </c>
      <c r="L703" s="254"/>
      <c r="M703" s="255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</row>
    <row r="704" spans="1:863" ht="15" customHeight="1" x14ac:dyDescent="0.25">
      <c r="A704" s="390">
        <v>43378</v>
      </c>
      <c r="B704" s="384" t="s">
        <v>465</v>
      </c>
      <c r="C704" s="99" t="s">
        <v>139</v>
      </c>
      <c r="D704" s="99" t="s">
        <v>30</v>
      </c>
      <c r="E704" s="99" t="s">
        <v>138</v>
      </c>
      <c r="F704" s="102">
        <v>18</v>
      </c>
      <c r="G704" s="102">
        <v>108</v>
      </c>
      <c r="H704" s="418">
        <v>3830</v>
      </c>
      <c r="I704" s="102">
        <v>1149</v>
      </c>
      <c r="J704" s="101"/>
      <c r="K704" s="102"/>
      <c r="L704" s="102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</row>
    <row r="705" spans="1:863" ht="15" customHeight="1" x14ac:dyDescent="0.25">
      <c r="A705" s="390">
        <v>43378</v>
      </c>
      <c r="B705" s="384" t="s">
        <v>465</v>
      </c>
      <c r="C705" s="99" t="s">
        <v>139</v>
      </c>
      <c r="D705" s="99" t="s">
        <v>30</v>
      </c>
      <c r="E705" s="99" t="s">
        <v>138</v>
      </c>
      <c r="F705" s="102">
        <v>20</v>
      </c>
      <c r="G705" s="102">
        <v>144</v>
      </c>
      <c r="H705" s="418"/>
      <c r="I705" s="102">
        <v>1532</v>
      </c>
      <c r="J705" s="101"/>
      <c r="K705" s="102"/>
      <c r="L705" s="102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</row>
    <row r="706" spans="1:863" ht="15.75" customHeight="1" x14ac:dyDescent="0.25">
      <c r="A706" s="390">
        <v>43378</v>
      </c>
      <c r="B706" s="384" t="s">
        <v>465</v>
      </c>
      <c r="C706" s="99" t="s">
        <v>139</v>
      </c>
      <c r="D706" s="99" t="s">
        <v>30</v>
      </c>
      <c r="E706" s="99" t="s">
        <v>138</v>
      </c>
      <c r="F706" s="102">
        <v>26</v>
      </c>
      <c r="G706" s="102">
        <v>108</v>
      </c>
      <c r="H706" s="418"/>
      <c r="I706" s="102">
        <v>1149</v>
      </c>
      <c r="J706" s="101"/>
      <c r="K706" s="102"/>
      <c r="L706" s="102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</row>
    <row r="707" spans="1:863" ht="15.75" customHeight="1" x14ac:dyDescent="0.25">
      <c r="A707" s="390">
        <v>43378</v>
      </c>
      <c r="B707" s="384" t="s">
        <v>466</v>
      </c>
      <c r="C707" s="99" t="s">
        <v>139</v>
      </c>
      <c r="D707" s="99" t="s">
        <v>30</v>
      </c>
      <c r="E707" s="99" t="s">
        <v>138</v>
      </c>
      <c r="F707" s="102">
        <v>18</v>
      </c>
      <c r="G707" s="102">
        <v>108</v>
      </c>
      <c r="H707" s="418">
        <v>1890</v>
      </c>
      <c r="I707" s="102">
        <v>1134</v>
      </c>
      <c r="J707" s="101"/>
      <c r="K707" s="102"/>
      <c r="L707" s="102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</row>
    <row r="708" spans="1:863" ht="15.75" customHeight="1" x14ac:dyDescent="0.25">
      <c r="A708" s="390">
        <v>43378</v>
      </c>
      <c r="B708" s="384" t="s">
        <v>466</v>
      </c>
      <c r="C708" s="99" t="s">
        <v>139</v>
      </c>
      <c r="D708" s="99" t="s">
        <v>30</v>
      </c>
      <c r="E708" s="99" t="s">
        <v>138</v>
      </c>
      <c r="F708" s="102">
        <v>20</v>
      </c>
      <c r="G708" s="102">
        <v>36</v>
      </c>
      <c r="H708" s="418"/>
      <c r="I708" s="102">
        <v>378</v>
      </c>
      <c r="J708" s="101"/>
      <c r="K708" s="102"/>
      <c r="L708" s="102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</row>
    <row r="709" spans="1:863" ht="15.75" customHeight="1" x14ac:dyDescent="0.25">
      <c r="A709" s="390">
        <v>43378</v>
      </c>
      <c r="B709" s="384" t="s">
        <v>466</v>
      </c>
      <c r="C709" s="99" t="s">
        <v>139</v>
      </c>
      <c r="D709" s="99" t="s">
        <v>30</v>
      </c>
      <c r="E709" s="99" t="s">
        <v>138</v>
      </c>
      <c r="F709" s="102">
        <v>21</v>
      </c>
      <c r="G709" s="102">
        <v>36</v>
      </c>
      <c r="H709" s="418"/>
      <c r="I709" s="102">
        <v>328</v>
      </c>
      <c r="J709" s="101"/>
      <c r="K709" s="102"/>
      <c r="L709" s="102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</row>
    <row r="710" spans="1:863" ht="15.75" customHeight="1" x14ac:dyDescent="0.25">
      <c r="A710" s="390">
        <v>43378</v>
      </c>
      <c r="B710" s="256" t="s">
        <v>467</v>
      </c>
      <c r="C710" s="48" t="s">
        <v>139</v>
      </c>
      <c r="D710" s="48" t="s">
        <v>468</v>
      </c>
      <c r="E710" s="99" t="s">
        <v>469</v>
      </c>
      <c r="F710" s="257">
        <v>122</v>
      </c>
      <c r="G710" s="257">
        <v>144</v>
      </c>
      <c r="H710" s="246">
        <v>1230</v>
      </c>
      <c r="I710" s="257">
        <v>1230</v>
      </c>
      <c r="J710" s="101"/>
      <c r="K710" s="102"/>
      <c r="L710" s="102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</row>
    <row r="711" spans="1:863" ht="15.75" customHeight="1" x14ac:dyDescent="0.25">
      <c r="A711" s="390">
        <v>43378</v>
      </c>
      <c r="B711" s="256" t="s">
        <v>470</v>
      </c>
      <c r="C711" s="48" t="s">
        <v>139</v>
      </c>
      <c r="D711" s="48" t="s">
        <v>468</v>
      </c>
      <c r="E711" s="99" t="s">
        <v>469</v>
      </c>
      <c r="F711" s="257">
        <v>122</v>
      </c>
      <c r="G711" s="257">
        <v>144</v>
      </c>
      <c r="H711" s="246">
        <v>1240</v>
      </c>
      <c r="I711" s="257">
        <v>1240</v>
      </c>
      <c r="J711" s="101"/>
      <c r="K711" s="102"/>
      <c r="L711" s="102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</row>
    <row r="712" spans="1:863" ht="15.75" customHeight="1" x14ac:dyDescent="0.25">
      <c r="A712" s="390">
        <v>43378</v>
      </c>
      <c r="B712" s="256" t="s">
        <v>471</v>
      </c>
      <c r="C712" s="48" t="s">
        <v>139</v>
      </c>
      <c r="D712" s="48" t="s">
        <v>468</v>
      </c>
      <c r="E712" s="99" t="s">
        <v>469</v>
      </c>
      <c r="F712" s="257">
        <v>122</v>
      </c>
      <c r="G712" s="257">
        <v>108</v>
      </c>
      <c r="H712" s="246">
        <v>1000</v>
      </c>
      <c r="I712" s="257">
        <v>1000</v>
      </c>
      <c r="J712" s="101"/>
      <c r="K712" s="102"/>
      <c r="L712" s="10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</row>
    <row r="713" spans="1:863" x14ac:dyDescent="0.25">
      <c r="A713" s="391"/>
      <c r="B713" s="392"/>
      <c r="C713" s="393"/>
      <c r="D713" s="393"/>
      <c r="E713" s="394"/>
      <c r="F713" s="393"/>
      <c r="G713" s="393"/>
      <c r="H713" s="395"/>
      <c r="I713" s="393"/>
      <c r="J713" s="396"/>
      <c r="K713" s="397"/>
      <c r="L713" s="397"/>
      <c r="M713" s="396"/>
    </row>
  </sheetData>
  <autoFilter ref="A3:M712"/>
  <mergeCells count="237">
    <mergeCell ref="H695:H697"/>
    <mergeCell ref="H698:H701"/>
    <mergeCell ref="H702:H703"/>
    <mergeCell ref="H704:H706"/>
    <mergeCell ref="H707:H709"/>
    <mergeCell ref="H681:H683"/>
    <mergeCell ref="H684:H686"/>
    <mergeCell ref="H687:H689"/>
    <mergeCell ref="H690:H691"/>
    <mergeCell ref="H692:H694"/>
    <mergeCell ref="H667:H669"/>
    <mergeCell ref="H670:H671"/>
    <mergeCell ref="H672:H674"/>
    <mergeCell ref="H675:H677"/>
    <mergeCell ref="H678:H680"/>
    <mergeCell ref="H656:H657"/>
    <mergeCell ref="H658:H659"/>
    <mergeCell ref="H660:H661"/>
    <mergeCell ref="H662:H663"/>
    <mergeCell ref="H664:H666"/>
    <mergeCell ref="H640:H642"/>
    <mergeCell ref="H643:H646"/>
    <mergeCell ref="H647:H648"/>
    <mergeCell ref="H649:H652"/>
    <mergeCell ref="H653:H655"/>
    <mergeCell ref="M191:M192"/>
    <mergeCell ref="M195:M196"/>
    <mergeCell ref="M208:M210"/>
    <mergeCell ref="M222:M230"/>
    <mergeCell ref="H387:H389"/>
    <mergeCell ref="H226:H228"/>
    <mergeCell ref="H231:H232"/>
    <mergeCell ref="H234:H236"/>
    <mergeCell ref="H239:H240"/>
    <mergeCell ref="H208:H209"/>
    <mergeCell ref="H211:H214"/>
    <mergeCell ref="H215:H216"/>
    <mergeCell ref="H217:H218"/>
    <mergeCell ref="H220:H221"/>
    <mergeCell ref="H204:H205"/>
    <mergeCell ref="H206:H207"/>
    <mergeCell ref="H356:H357"/>
    <mergeCell ref="H360:H361"/>
    <mergeCell ref="H340:H341"/>
    <mergeCell ref="O201:O202"/>
    <mergeCell ref="H375:H377"/>
    <mergeCell ref="H378:H379"/>
    <mergeCell ref="H380:H381"/>
    <mergeCell ref="H382:H384"/>
    <mergeCell ref="H385:H386"/>
    <mergeCell ref="H281:H283"/>
    <mergeCell ref="H286:H287"/>
    <mergeCell ref="H267:H268"/>
    <mergeCell ref="H270:H271"/>
    <mergeCell ref="H272:H274"/>
    <mergeCell ref="H276:H277"/>
    <mergeCell ref="H278:H279"/>
    <mergeCell ref="H257:H258"/>
    <mergeCell ref="H259:H262"/>
    <mergeCell ref="H263:H264"/>
    <mergeCell ref="H265:H266"/>
    <mergeCell ref="H241:H242"/>
    <mergeCell ref="H243:H244"/>
    <mergeCell ref="H246:H247"/>
    <mergeCell ref="H249:H251"/>
    <mergeCell ref="H252:H253"/>
    <mergeCell ref="H254:H256"/>
    <mergeCell ref="H224:H225"/>
    <mergeCell ref="H185:H186"/>
    <mergeCell ref="H187:H188"/>
    <mergeCell ref="H189:H190"/>
    <mergeCell ref="H191:H192"/>
    <mergeCell ref="H193:H194"/>
    <mergeCell ref="H195:H196"/>
    <mergeCell ref="H197:H198"/>
    <mergeCell ref="H199:H200"/>
    <mergeCell ref="H201:H202"/>
    <mergeCell ref="H141:H143"/>
    <mergeCell ref="H139:H140"/>
    <mergeCell ref="H136:H138"/>
    <mergeCell ref="H133:H135"/>
    <mergeCell ref="H125:H128"/>
    <mergeCell ref="H121:H124"/>
    <mergeCell ref="H119:H120"/>
    <mergeCell ref="H115:H118"/>
    <mergeCell ref="H111:H114"/>
    <mergeCell ref="H174:H175"/>
    <mergeCell ref="H171:H172"/>
    <mergeCell ref="H165:H166"/>
    <mergeCell ref="H161:H162"/>
    <mergeCell ref="H156:H157"/>
    <mergeCell ref="H152:H154"/>
    <mergeCell ref="H150:H151"/>
    <mergeCell ref="H146:H149"/>
    <mergeCell ref="H144:H145"/>
    <mergeCell ref="H59:H60"/>
    <mergeCell ref="H61:H62"/>
    <mergeCell ref="J72:J80"/>
    <mergeCell ref="H107:H110"/>
    <mergeCell ref="H105:H106"/>
    <mergeCell ref="H101:H104"/>
    <mergeCell ref="H97:H100"/>
    <mergeCell ref="H81:H82"/>
    <mergeCell ref="H79:H80"/>
    <mergeCell ref="H77:H78"/>
    <mergeCell ref="H93:H96"/>
    <mergeCell ref="H90:H92"/>
    <mergeCell ref="H326:H327"/>
    <mergeCell ref="H396:H397"/>
    <mergeCell ref="J4:J10"/>
    <mergeCell ref="H29:H30"/>
    <mergeCell ref="H38:H39"/>
    <mergeCell ref="H42:H43"/>
    <mergeCell ref="H44:H45"/>
    <mergeCell ref="H46:H47"/>
    <mergeCell ref="H48:H50"/>
    <mergeCell ref="J36:J37"/>
    <mergeCell ref="J204:J207"/>
    <mergeCell ref="J111:J128"/>
    <mergeCell ref="H51:H53"/>
    <mergeCell ref="H54:H56"/>
    <mergeCell ref="H87:H88"/>
    <mergeCell ref="H85:H86"/>
    <mergeCell ref="H83:H84"/>
    <mergeCell ref="H69:H71"/>
    <mergeCell ref="H72:H74"/>
    <mergeCell ref="H75:H76"/>
    <mergeCell ref="J90:J110"/>
    <mergeCell ref="H63:H65"/>
    <mergeCell ref="H66:H68"/>
    <mergeCell ref="H57:H58"/>
    <mergeCell ref="H288:H289"/>
    <mergeCell ref="H290:H291"/>
    <mergeCell ref="H292:H293"/>
    <mergeCell ref="H294:H295"/>
    <mergeCell ref="H301:H302"/>
    <mergeCell ref="H321:H322"/>
    <mergeCell ref="H303:H304"/>
    <mergeCell ref="H306:H307"/>
    <mergeCell ref="H308:H310"/>
    <mergeCell ref="H312:H313"/>
    <mergeCell ref="H314:H315"/>
    <mergeCell ref="H401:H403"/>
    <mergeCell ref="H415:H416"/>
    <mergeCell ref="H417:H418"/>
    <mergeCell ref="H431:H432"/>
    <mergeCell ref="H419:H421"/>
    <mergeCell ref="H404:H407"/>
    <mergeCell ref="H408:H411"/>
    <mergeCell ref="H412:H414"/>
    <mergeCell ref="H296:H297"/>
    <mergeCell ref="H398:H399"/>
    <mergeCell ref="H364:H366"/>
    <mergeCell ref="H367:H368"/>
    <mergeCell ref="H369:H371"/>
    <mergeCell ref="H372:H374"/>
    <mergeCell ref="H390:H392"/>
    <mergeCell ref="H393:H395"/>
    <mergeCell ref="H298:H299"/>
    <mergeCell ref="H343:H344"/>
    <mergeCell ref="H348:H349"/>
    <mergeCell ref="H350:H351"/>
    <mergeCell ref="H352:H354"/>
    <mergeCell ref="H335:H336"/>
    <mergeCell ref="H328:H329"/>
    <mergeCell ref="H331:H332"/>
    <mergeCell ref="H456:H457"/>
    <mergeCell ref="H459:H460"/>
    <mergeCell ref="H461:H462"/>
    <mergeCell ref="H422:H424"/>
    <mergeCell ref="H428:H430"/>
    <mergeCell ref="H463:H464"/>
    <mergeCell ref="H483:H484"/>
    <mergeCell ref="H467:H469"/>
    <mergeCell ref="H471:H472"/>
    <mergeCell ref="H475:H476"/>
    <mergeCell ref="H477:H479"/>
    <mergeCell ref="H481:H482"/>
    <mergeCell ref="H448:H450"/>
    <mergeCell ref="H451:H454"/>
    <mergeCell ref="H433:H435"/>
    <mergeCell ref="H436:H438"/>
    <mergeCell ref="H439:H440"/>
    <mergeCell ref="H441:H443"/>
    <mergeCell ref="H445:H447"/>
    <mergeCell ref="H500:H501"/>
    <mergeCell ref="H502:H505"/>
    <mergeCell ref="H498:H499"/>
    <mergeCell ref="H486:H488"/>
    <mergeCell ref="H489:H490"/>
    <mergeCell ref="H492:H493"/>
    <mergeCell ref="H496:H497"/>
    <mergeCell ref="H524:H525"/>
    <mergeCell ref="H526:H527"/>
    <mergeCell ref="H528:H529"/>
    <mergeCell ref="H531:H532"/>
    <mergeCell ref="H506:H507"/>
    <mergeCell ref="H509:H510"/>
    <mergeCell ref="H511:H512"/>
    <mergeCell ref="H517:H518"/>
    <mergeCell ref="H519:H520"/>
    <mergeCell ref="H522:H523"/>
    <mergeCell ref="H558:H560"/>
    <mergeCell ref="H562:H563"/>
    <mergeCell ref="H565:H566"/>
    <mergeCell ref="H545:H547"/>
    <mergeCell ref="H548:H549"/>
    <mergeCell ref="H550:H552"/>
    <mergeCell ref="H553:H554"/>
    <mergeCell ref="H556:H557"/>
    <mergeCell ref="H534:H535"/>
    <mergeCell ref="H536:H537"/>
    <mergeCell ref="H538:H539"/>
    <mergeCell ref="H540:H541"/>
    <mergeCell ref="H542:H544"/>
    <mergeCell ref="H584:H585"/>
    <mergeCell ref="H586:H587"/>
    <mergeCell ref="H588:H589"/>
    <mergeCell ref="H592:H593"/>
    <mergeCell ref="H570:H571"/>
    <mergeCell ref="H573:H574"/>
    <mergeCell ref="H595:H596"/>
    <mergeCell ref="H600:H601"/>
    <mergeCell ref="H602:H603"/>
    <mergeCell ref="H606:H607"/>
    <mergeCell ref="H608:H610"/>
    <mergeCell ref="H637:H638"/>
    <mergeCell ref="H623:H624"/>
    <mergeCell ref="H625:H626"/>
    <mergeCell ref="H627:H628"/>
    <mergeCell ref="H629:H630"/>
    <mergeCell ref="H634:H635"/>
    <mergeCell ref="H611:H612"/>
    <mergeCell ref="H613:H614"/>
    <mergeCell ref="H615:H616"/>
    <mergeCell ref="H618:H619"/>
    <mergeCell ref="H620:H6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11</xdr:col>
                <xdr:colOff>400050</xdr:colOff>
                <xdr:row>0</xdr:row>
                <xdr:rowOff>123825</xdr:rowOff>
              </from>
              <to>
                <xdr:col>12</xdr:col>
                <xdr:colOff>209550</xdr:colOff>
                <xdr:row>1</xdr:row>
                <xdr:rowOff>161925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400050</xdr:colOff>
                <xdr:row>0</xdr:row>
                <xdr:rowOff>104775</xdr:rowOff>
              </from>
              <to>
                <xdr:col>13</xdr:col>
                <xdr:colOff>409575</xdr:colOff>
                <xdr:row>1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workbookViewId="0">
      <selection activeCell="C2" sqref="C2"/>
    </sheetView>
  </sheetViews>
  <sheetFormatPr baseColWidth="10" defaultRowHeight="15" x14ac:dyDescent="0.25"/>
  <cols>
    <col min="2" max="2" width="0" hidden="1" customWidth="1"/>
    <col min="3" max="3" width="19.42578125" bestFit="1" customWidth="1"/>
    <col min="4" max="4" width="16" customWidth="1"/>
    <col min="5" max="5" width="24.42578125" bestFit="1" customWidth="1"/>
    <col min="7" max="7" width="24.5703125" bestFit="1" customWidth="1"/>
    <col min="8" max="8" width="18.5703125" bestFit="1" customWidth="1"/>
    <col min="9" max="9" width="17" customWidth="1"/>
  </cols>
  <sheetData>
    <row r="1" spans="1:6" ht="15.75" x14ac:dyDescent="0.25">
      <c r="A1" s="201" t="s">
        <v>32</v>
      </c>
      <c r="B1" s="79" t="s">
        <v>23</v>
      </c>
      <c r="C1" s="79" t="s">
        <v>77</v>
      </c>
      <c r="D1" s="227" t="s">
        <v>79</v>
      </c>
      <c r="E1" s="388" t="s">
        <v>473</v>
      </c>
      <c r="F1" s="388" t="s">
        <v>474</v>
      </c>
    </row>
    <row r="2" spans="1:6" x14ac:dyDescent="0.25">
      <c r="A2">
        <v>15772</v>
      </c>
      <c r="B2">
        <v>81</v>
      </c>
      <c r="C2">
        <v>1545</v>
      </c>
      <c r="D2" t="s">
        <v>478</v>
      </c>
      <c r="E2">
        <v>789</v>
      </c>
      <c r="F2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"/>
  <sheetViews>
    <sheetView workbookViewId="0"/>
  </sheetViews>
  <sheetFormatPr baseColWidth="10" defaultRowHeight="15" x14ac:dyDescent="0.25"/>
  <cols>
    <col min="1" max="1" width="24.5703125" bestFit="1" customWidth="1"/>
    <col min="2" max="2" width="24.5703125" customWidth="1"/>
    <col min="3" max="3" width="16.7109375" bestFit="1" customWidth="1"/>
    <col min="4" max="4" width="16.42578125" bestFit="1" customWidth="1"/>
  </cols>
  <sheetData>
    <row r="1" spans="1:4" ht="15.75" x14ac:dyDescent="0.25">
      <c r="A1" s="388" t="s">
        <v>475</v>
      </c>
      <c r="B1" s="388" t="s">
        <v>477</v>
      </c>
      <c r="C1" s="388" t="s">
        <v>476</v>
      </c>
      <c r="D1" s="3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Anexo 4.1B</vt:lpstr>
      <vt:lpstr>GUIAS</vt:lpstr>
      <vt:lpstr>SALDOS</vt:lpstr>
      <vt:lpstr>PRESTAMO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CONTABILIDAD_3</cp:lastModifiedBy>
  <cp:lastPrinted>2018-10-06T21:40:49Z</cp:lastPrinted>
  <dcterms:created xsi:type="dcterms:W3CDTF">2015-11-12T21:42:18Z</dcterms:created>
  <dcterms:modified xsi:type="dcterms:W3CDTF">2018-10-09T17:14:52Z</dcterms:modified>
</cp:coreProperties>
</file>