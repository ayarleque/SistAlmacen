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76d5ce934aa4f3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0" windowWidth="23040" windowHeight="9210"/>
  </bookViews>
  <sheets>
    <sheet name="VENCIMIENTOS" sheetId="1" r:id="rId1"/>
  </sheets>
  <externalReferences>
    <externalReference r:id="rId2"/>
    <externalReference r:id="rId3"/>
  </externalReferences>
  <definedNames>
    <definedName name="Añitos">#REF!</definedName>
    <definedName name="AÑOS">#REF!</definedName>
    <definedName name="BuscarCol">VENCIMIENTOS!$E$3:$AA$3</definedName>
    <definedName name="DiasPrevios">VENCIMIENTOS!$C$4</definedName>
    <definedName name="HoyEs">VENCIMIENTOS!$C$3</definedName>
    <definedName name="LISTA_DE_RUCS">OFFSET(#REF!,0,0,COUNTA(#REF!)-1,1)</definedName>
    <definedName name="MESES">#REF!</definedName>
    <definedName name="mesesitos">#REF!</definedName>
    <definedName name="PRODUCTOS">[1]Data!$A$2:$A$4</definedName>
    <definedName name="TipoFecha">[2]PARAMETROS!$L$5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3" i="1" l="1"/>
  <c r="E5" i="1" s="1"/>
  <c r="AA5" i="1" l="1"/>
  <c r="Y5" i="1"/>
  <c r="W5" i="1"/>
  <c r="U5" i="1"/>
  <c r="S5" i="1"/>
  <c r="Q5" i="1"/>
  <c r="O5" i="1"/>
  <c r="M5" i="1"/>
  <c r="K5" i="1"/>
  <c r="I5" i="1"/>
  <c r="G5" i="1"/>
  <c r="W3" i="1" l="1"/>
  <c r="Y3" i="1"/>
  <c r="S3" i="1"/>
  <c r="U3" i="1"/>
  <c r="O3" i="1"/>
  <c r="Q3" i="1"/>
  <c r="K3" i="1"/>
  <c r="M3" i="1"/>
  <c r="G3" i="1"/>
  <c r="I3" i="1"/>
  <c r="E3" i="1"/>
  <c r="AA3" i="1"/>
</calcChain>
</file>

<file path=xl/sharedStrings.xml><?xml version="1.0" encoding="utf-8"?>
<sst xmlns="http://schemas.openxmlformats.org/spreadsheetml/2006/main" count="13" uniqueCount="12">
  <si>
    <t>Concepto a Pagar</t>
  </si>
  <si>
    <t>Importe</t>
  </si>
  <si>
    <t>Vencimiento Mensual</t>
  </si>
  <si>
    <t>La fecha de hoy:</t>
  </si>
  <si>
    <t>Días antes a avisar</t>
  </si>
  <si>
    <t>CONTROL DE VENCIMIENTOS - PAGOS VARIOS</t>
  </si>
  <si>
    <t>Petro Peru</t>
  </si>
  <si>
    <t>N° FACTURA</t>
  </si>
  <si>
    <t>FE04-84539</t>
  </si>
  <si>
    <t>Proveedor</t>
  </si>
  <si>
    <t>DIESEL B5</t>
  </si>
  <si>
    <t>FE04-84538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</si>
</sst>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mm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FF00"/>
      <name val="Wingdings 2"/>
      <family val="1"/>
      <charset val="2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0000FF"/>
      <name val="Calibri"/>
      <family val="2"/>
      <scheme val="minor"/>
    </font>
    <font>
      <sz val="11"/>
      <name val="Wingdings 2"/>
      <family val="1"/>
      <charset val="2"/>
    </font>
    <font>
      <b/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FF"/>
      <name val="Baskerville Old Face"/>
      <family val="1"/>
    </font>
    <font>
      <b/>
      <i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rgb="FF000000"/>
      <name val="Calibri"/>
      <family val="2"/>
    </font>
    <font>
      <u/>
      <sz val="10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14" fontId="0" fillId="0" borderId="0" xfId="0" applyNumberFormat="1"/>
    <xf numFmtId="1" fontId="0" fillId="0" borderId="0" xfId="0" applyNumberFormat="1"/>
    <xf numFmtId="0" fontId="0" fillId="0" borderId="0" xfId="0" applyFill="1" applyAlignment="1">
      <alignment horizontal="center" vertical="center"/>
    </xf>
    <xf numFmtId="0" fontId="0" fillId="0" borderId="0" xfId="0" applyNumberFormat="1"/>
    <xf numFmtId="0" fontId="5" fillId="0" borderId="0" xfId="0" applyNumberFormat="1" applyFont="1"/>
    <xf numFmtId="0" fontId="2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10" fillId="0" borderId="0" xfId="0" applyFont="1" applyFill="1"/>
    <xf numFmtId="0" fontId="7" fillId="0" borderId="0" xfId="0" applyFont="1" applyFill="1"/>
    <xf numFmtId="164" fontId="7" fillId="0" borderId="0" xfId="1" applyFont="1" applyFill="1"/>
    <xf numFmtId="0" fontId="7" fillId="0" borderId="0" xfId="1" applyNumberFormat="1" applyFont="1" applyFill="1"/>
    <xf numFmtId="0" fontId="12" fillId="0" borderId="0" xfId="0" applyFont="1" applyFill="1"/>
    <xf numFmtId="164" fontId="7" fillId="0" borderId="0" xfId="1" applyFont="1" applyFill="1" applyAlignment="1">
      <alignment horizontal="right"/>
    </xf>
    <xf numFmtId="0" fontId="11" fillId="0" borderId="0" xfId="0" applyFont="1" applyAlignment="1">
      <alignment vertical="center"/>
    </xf>
    <xf numFmtId="14" fontId="11" fillId="0" borderId="0" xfId="0" applyNumberFormat="1" applyFont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Alignment="1">
      <alignment horizontal="left" vertical="center" indent="3"/>
    </xf>
    <xf numFmtId="0" fontId="8" fillId="0" borderId="0" xfId="0" applyFont="1" applyFill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4" fillId="0" borderId="0" xfId="2"/>
    <xf numFmtId="165" fontId="16" fillId="6" borderId="5" xfId="0" applyNumberFormat="1" applyFont="1" applyFill="1" applyBorder="1" applyAlignment="1">
      <alignment horizontal="right" vertical="center"/>
    </xf>
    <xf numFmtId="0" fontId="17" fillId="6" borderId="4" xfId="0" applyFont="1" applyFill="1" applyBorder="1" applyAlignment="1">
      <alignment horizontal="right"/>
    </xf>
    <xf numFmtId="0" fontId="9" fillId="5" borderId="0" xfId="0" applyFont="1" applyFill="1" applyAlignment="1">
      <alignment horizontal="center"/>
    </xf>
    <xf numFmtId="0" fontId="4" fillId="3" borderId="0" xfId="0" applyNumberFormat="1" applyFont="1" applyFill="1" applyAlignment="1">
      <alignment horizontal="center" vertical="center"/>
    </xf>
    <xf numFmtId="0" fontId="15" fillId="0" borderId="0" xfId="0" applyNumberFormat="1" applyFont="1" applyAlignment="1">
      <alignment horizontal="right"/>
    </xf>
  </cellXfs>
  <cellStyles count="4">
    <cellStyle name="Hipervínculo" xfId="2" builtinId="8"/>
    <cellStyle name="Hipervínculo 3" xfId="3"/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152400</xdr:colOff>
          <xdr:row>0</xdr:row>
          <xdr:rowOff>152400</xdr:rowOff>
        </xdr:from>
        <xdr:to>
          <xdr:col>28</xdr:col>
          <xdr:colOff>2152650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Evaluar Vencimientos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ductos\2017\ACTUALIZADOS\GRATIS\actualizados\Sistema%20de%20busqueda%20interactivo%20mac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bastiani/Desktop/Declaraciones%20y%20pagos%20-%20IGV%20Renta%202018%20-%20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RESENTACION"/>
      <sheetName val="BASE DE DATOS"/>
      <sheetName val="Filtro"/>
    </sheetNames>
    <sheetDataSet>
      <sheetData sheetId="0">
        <row r="2">
          <cell r="A2" t="str">
            <v>RODAMIENTOS</v>
          </cell>
        </row>
        <row r="3">
          <cell r="A3" t="str">
            <v>RETENES</v>
          </cell>
        </row>
        <row r="4">
          <cell r="A4" t="str">
            <v>CRUCETAS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ENTACION"/>
      <sheetName val="PUBLICIDAD"/>
      <sheetName val="PARAMETROS"/>
      <sheetName val="PERCEPCIONES (1)"/>
      <sheetName val="PERCEPCIONES (2)"/>
      <sheetName val="RETENCIONES"/>
    </sheetNames>
    <sheetDataSet>
      <sheetData sheetId="0" refreshError="1"/>
      <sheetData sheetId="1" refreshError="1"/>
      <sheetData sheetId="2">
        <row r="5">
          <cell r="L5" t="str">
            <v>DD/MM/YYYY</v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D22"/>
  <sheetViews>
    <sheetView showGridLines="0" tabSelected="1" zoomScale="120" zoomScaleNormal="120" workbookViewId="0">
      <selection activeCell="B2" sqref="B2:AB2"/>
    </sheetView>
  </sheetViews>
  <sheetFormatPr baseColWidth="10" defaultRowHeight="15.75" x14ac:dyDescent="0.25"/>
  <cols>
    <col min="1" max="1" width="3.28515625" customWidth="1"/>
    <col min="2" max="2" width="17.7109375" customWidth="1"/>
    <col min="3" max="3" width="32.5703125" bestFit="1" customWidth="1"/>
    <col min="5" max="5" width="4.7109375" style="4" customWidth="1"/>
    <col min="6" max="6" width="2.140625" style="5" customWidth="1"/>
    <col min="7" max="7" width="4.7109375" style="4" bestFit="1" customWidth="1"/>
    <col min="8" max="8" width="2.28515625" style="5" customWidth="1"/>
    <col min="9" max="9" width="5.28515625" style="4" bestFit="1" customWidth="1"/>
    <col min="10" max="10" width="2.28515625" style="5" customWidth="1"/>
    <col min="11" max="11" width="4.7109375" style="4" bestFit="1" customWidth="1"/>
    <col min="12" max="12" width="2.28515625" style="5" customWidth="1"/>
    <col min="13" max="13" width="5.42578125" style="4" bestFit="1" customWidth="1"/>
    <col min="14" max="14" width="2.140625" style="5" bestFit="1" customWidth="1"/>
    <col min="15" max="15" width="4.5703125" style="4" bestFit="1" customWidth="1"/>
    <col min="16" max="16" width="2.140625" style="5" bestFit="1" customWidth="1"/>
    <col min="17" max="17" width="3.85546875" style="4" bestFit="1" customWidth="1"/>
    <col min="18" max="18" width="2.140625" style="5" bestFit="1" customWidth="1"/>
    <col min="19" max="19" width="5.140625" style="4" bestFit="1" customWidth="1"/>
    <col min="20" max="20" width="2.28515625" style="5" customWidth="1"/>
    <col min="21" max="21" width="4.28515625" style="4" bestFit="1" customWidth="1"/>
    <col min="22" max="22" width="2.28515625" style="5" customWidth="1"/>
    <col min="23" max="23" width="4.42578125" style="4" bestFit="1" customWidth="1"/>
    <col min="24" max="24" width="2.28515625" style="5" customWidth="1"/>
    <col min="25" max="25" width="5" style="4" bestFit="1" customWidth="1"/>
    <col min="26" max="26" width="2.28515625" style="5" customWidth="1"/>
    <col min="27" max="27" width="4.140625" style="4" bestFit="1" customWidth="1"/>
    <col min="28" max="28" width="2.28515625" style="5" customWidth="1"/>
    <col min="29" max="29" width="33.7109375" customWidth="1"/>
    <col min="30" max="30" width="35.28515625" customWidth="1"/>
  </cols>
  <sheetData>
    <row r="1" spans="1:30" ht="13.15" customHeight="1" x14ac:dyDescent="0.3">
      <c r="B1" s="23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1"/>
    </row>
    <row r="2" spans="1:30" ht="23.45" x14ac:dyDescent="0.45">
      <c r="B2" s="26" t="s">
        <v>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1"/>
    </row>
    <row r="3" spans="1:30" ht="15.6" x14ac:dyDescent="0.3">
      <c r="B3" s="14" t="s">
        <v>3</v>
      </c>
      <c r="C3" s="15">
        <f ca="1">TODAY()</f>
        <v>43396</v>
      </c>
      <c r="E3" s="6" t="str">
        <f ca="1">IF(AND(EOMONTH(HoyEs,-1)+1=E$5)=TRUE,"▼","")</f>
        <v/>
      </c>
      <c r="F3" s="7"/>
      <c r="G3" s="6" t="str">
        <f ca="1">IF(AND(EOMONTH(HoyEs,-1)+1=G$5)=TRUE,"▼","")</f>
        <v/>
      </c>
      <c r="H3" s="7"/>
      <c r="I3" s="6" t="str">
        <f ca="1">IF(AND(EOMONTH(HoyEs,-1)+1=I$5)=TRUE,"▼","")</f>
        <v/>
      </c>
      <c r="J3" s="7"/>
      <c r="K3" s="6" t="str">
        <f ca="1">IF(AND(EOMONTH(HoyEs,-1)+1=K$5)=TRUE,"▼","")</f>
        <v/>
      </c>
      <c r="L3" s="7"/>
      <c r="M3" s="6" t="str">
        <f ca="1">IF(AND(EOMONTH(HoyEs,-1)+1=M$5)=TRUE,"▼","")</f>
        <v/>
      </c>
      <c r="N3" s="7"/>
      <c r="O3" s="6" t="str">
        <f ca="1">IF(AND(EOMONTH(HoyEs,-1)+1=O$5)=TRUE,"▼","")</f>
        <v/>
      </c>
      <c r="P3" s="7"/>
      <c r="Q3" s="6" t="str">
        <f ca="1">IF(AND(EOMONTH(HoyEs,-1)+1=Q$5)=TRUE,"▼","")</f>
        <v/>
      </c>
      <c r="R3" s="7"/>
      <c r="S3" s="6" t="str">
        <f ca="1">IF(AND(EOMONTH(HoyEs,-1)+1=S$5)=TRUE,"▼","")</f>
        <v/>
      </c>
      <c r="T3" s="7"/>
      <c r="U3" s="6" t="str">
        <f ca="1">IF(AND(EOMONTH(HoyEs,-1)+1=U$5)=TRUE,"▼","")</f>
        <v/>
      </c>
      <c r="V3" s="7"/>
      <c r="W3" s="6" t="str">
        <f ca="1">IF(AND(EOMONTH(HoyEs,-1)+1=W$5)=TRUE,"▼","")</f>
        <v>▼</v>
      </c>
      <c r="X3" s="7"/>
      <c r="Y3" s="6" t="str">
        <f ca="1">IF(AND(EOMONTH(HoyEs,-1)+1=Y$5)=TRUE,"▼","")</f>
        <v/>
      </c>
      <c r="Z3" s="7"/>
      <c r="AA3" s="6" t="str">
        <f ca="1">IF(AND(EOMONTH(HoyEs,-1)+1=AA$5)=TRUE,"▼","")</f>
        <v/>
      </c>
      <c r="AB3" s="7"/>
    </row>
    <row r="4" spans="1:30" ht="18.75" x14ac:dyDescent="0.25">
      <c r="B4" s="16" t="s">
        <v>4</v>
      </c>
      <c r="C4" s="17">
        <v>10</v>
      </c>
      <c r="E4" s="27" t="s">
        <v>2</v>
      </c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30" ht="18.75" x14ac:dyDescent="0.25">
      <c r="A5" s="3"/>
      <c r="B5" s="19" t="s">
        <v>9</v>
      </c>
      <c r="C5" s="20" t="s">
        <v>0</v>
      </c>
      <c r="D5" s="21" t="s">
        <v>1</v>
      </c>
      <c r="E5" s="24">
        <f ca="1">+DATE(YEAR(HoyEs),1,1)</f>
        <v>43101</v>
      </c>
      <c r="F5" s="25"/>
      <c r="G5" s="24">
        <f ca="1">+DATE(YEAR(HoyEs),2,1)</f>
        <v>43132</v>
      </c>
      <c r="H5" s="25"/>
      <c r="I5" s="24">
        <f ca="1">+DATE(YEAR(HoyEs),3,1)</f>
        <v>43160</v>
      </c>
      <c r="J5" s="25"/>
      <c r="K5" s="24">
        <f ca="1">+DATE(YEAR(HoyEs),4,1)</f>
        <v>43191</v>
      </c>
      <c r="L5" s="25"/>
      <c r="M5" s="24">
        <f ca="1">+DATE(YEAR(HoyEs),5,1)</f>
        <v>43221</v>
      </c>
      <c r="N5" s="25"/>
      <c r="O5" s="24">
        <f ca="1">+DATE(YEAR(HoyEs),6,1)</f>
        <v>43252</v>
      </c>
      <c r="P5" s="25"/>
      <c r="Q5" s="24">
        <f ca="1">+DATE(YEAR(HoyEs),7,1)</f>
        <v>43282</v>
      </c>
      <c r="R5" s="25"/>
      <c r="S5" s="24">
        <f ca="1">+DATE(YEAR(HoyEs),8,1)</f>
        <v>43313</v>
      </c>
      <c r="T5" s="25"/>
      <c r="U5" s="24">
        <f ca="1">+DATE(YEAR(HoyEs),9,1)</f>
        <v>43344</v>
      </c>
      <c r="V5" s="25"/>
      <c r="W5" s="24">
        <f ca="1">+DATE(YEAR(HoyEs),10,1)</f>
        <v>43374</v>
      </c>
      <c r="X5" s="25"/>
      <c r="Y5" s="24">
        <f ca="1">+DATE(YEAR(HoyEs),11,1)</f>
        <v>43405</v>
      </c>
      <c r="Z5" s="25"/>
      <c r="AA5" s="24">
        <f ca="1">+DATE(YEAR(HoyEs),12,1)</f>
        <v>43435</v>
      </c>
      <c r="AB5" s="25"/>
      <c r="AC5" s="22" t="s">
        <v>7</v>
      </c>
    </row>
    <row r="6" spans="1:30" ht="15" x14ac:dyDescent="0.25">
      <c r="B6" s="8" t="s">
        <v>6</v>
      </c>
      <c r="C6" s="9" t="str">
        <f>UPPER("Gasohol super plus 90")</f>
        <v>GASOHOL SUPER PLUS 90</v>
      </c>
      <c r="D6" s="10">
        <v>23004.77</v>
      </c>
      <c r="E6" s="11"/>
      <c r="F6" s="18"/>
      <c r="G6" s="11"/>
      <c r="H6" s="18"/>
      <c r="I6" s="11"/>
      <c r="J6" s="18"/>
      <c r="K6" s="11"/>
      <c r="L6" s="18"/>
      <c r="M6" s="11"/>
      <c r="N6" s="18"/>
      <c r="O6" s="11"/>
      <c r="P6" s="18"/>
      <c r="Q6" s="11"/>
      <c r="R6" s="18"/>
      <c r="S6" s="11"/>
      <c r="T6" s="9"/>
      <c r="U6" s="11"/>
      <c r="V6" s="9"/>
      <c r="W6" s="11">
        <v>26</v>
      </c>
      <c r="X6" s="18"/>
      <c r="Y6" s="11"/>
      <c r="Z6" s="9"/>
      <c r="AA6" s="11"/>
      <c r="AB6" s="9"/>
      <c r="AC6" s="9" t="s">
        <v>8</v>
      </c>
      <c r="AD6" s="2"/>
    </row>
    <row r="7" spans="1:30" ht="15" x14ac:dyDescent="0.25">
      <c r="B7" s="8" t="s">
        <v>6</v>
      </c>
      <c r="C7" s="9" t="s">
        <v>10</v>
      </c>
      <c r="D7" s="10">
        <v>61630.3</v>
      </c>
      <c r="E7" s="11"/>
      <c r="F7" s="18"/>
      <c r="G7" s="11"/>
      <c r="H7" s="18"/>
      <c r="I7" s="11"/>
      <c r="J7" s="18"/>
      <c r="K7" s="11"/>
      <c r="L7" s="18"/>
      <c r="M7" s="11"/>
      <c r="N7" s="18"/>
      <c r="O7" s="11"/>
      <c r="P7" s="18"/>
      <c r="Q7" s="11"/>
      <c r="R7" s="18"/>
      <c r="S7" s="11"/>
      <c r="T7" s="9"/>
      <c r="U7" s="11"/>
      <c r="V7" s="9"/>
      <c r="W7" s="11">
        <v>26</v>
      </c>
      <c r="X7" s="9"/>
      <c r="Y7" s="11"/>
      <c r="Z7" s="9"/>
      <c r="AA7" s="11"/>
      <c r="AB7" s="9"/>
      <c r="AC7" s="9" t="s">
        <v>11</v>
      </c>
      <c r="AD7" s="2"/>
    </row>
    <row r="8" spans="1:30" ht="15" x14ac:dyDescent="0.25">
      <c r="B8" s="8"/>
      <c r="C8" s="9"/>
      <c r="D8" s="10"/>
      <c r="E8" s="11"/>
      <c r="F8" s="18"/>
      <c r="G8" s="11"/>
      <c r="H8" s="18"/>
      <c r="I8" s="11"/>
      <c r="J8" s="18"/>
      <c r="K8" s="11"/>
      <c r="L8" s="18"/>
      <c r="M8" s="11"/>
      <c r="N8" s="18"/>
      <c r="O8" s="11"/>
      <c r="P8" s="18"/>
      <c r="Q8" s="11"/>
      <c r="R8" s="18"/>
      <c r="S8" s="11"/>
      <c r="T8" s="9"/>
      <c r="U8" s="11"/>
      <c r="V8" s="9"/>
      <c r="W8" s="11"/>
      <c r="X8" s="9"/>
      <c r="Y8" s="11"/>
      <c r="Z8" s="9"/>
      <c r="AA8" s="11"/>
      <c r="AB8" s="9"/>
      <c r="AC8" s="9"/>
      <c r="AD8" s="2"/>
    </row>
    <row r="9" spans="1:30" ht="15" x14ac:dyDescent="0.25">
      <c r="B9" s="8"/>
      <c r="C9" s="9"/>
      <c r="D9" s="10"/>
      <c r="E9" s="11"/>
      <c r="F9" s="18"/>
      <c r="G9" s="11"/>
      <c r="H9" s="18"/>
      <c r="I9" s="11"/>
      <c r="J9" s="18"/>
      <c r="K9" s="11"/>
      <c r="L9" s="18"/>
      <c r="M9" s="11"/>
      <c r="N9" s="18"/>
      <c r="O9" s="11"/>
      <c r="P9" s="18"/>
      <c r="Q9" s="11"/>
      <c r="R9" s="18"/>
      <c r="S9" s="11"/>
      <c r="T9" s="9"/>
      <c r="U9" s="11"/>
      <c r="V9" s="9"/>
      <c r="W9" s="11"/>
      <c r="X9" s="9"/>
      <c r="Y9" s="11"/>
      <c r="Z9" s="9"/>
      <c r="AA9" s="11"/>
      <c r="AB9" s="9"/>
      <c r="AC9" s="9"/>
      <c r="AD9" s="2"/>
    </row>
    <row r="10" spans="1:30" ht="14.45" x14ac:dyDescent="0.3">
      <c r="B10" s="8"/>
      <c r="C10" s="9"/>
      <c r="D10" s="10"/>
      <c r="E10" s="11"/>
      <c r="F10" s="18"/>
      <c r="G10" s="11"/>
      <c r="H10" s="18"/>
      <c r="I10" s="11"/>
      <c r="J10" s="18"/>
      <c r="K10" s="11"/>
      <c r="L10" s="18"/>
      <c r="M10" s="11"/>
      <c r="N10" s="18"/>
      <c r="O10" s="11"/>
      <c r="P10" s="18"/>
      <c r="Q10" s="11"/>
      <c r="R10" s="18"/>
      <c r="S10" s="11"/>
      <c r="T10" s="9"/>
      <c r="U10" s="11"/>
      <c r="V10" s="9"/>
      <c r="W10" s="11"/>
      <c r="X10" s="9"/>
      <c r="Y10" s="11"/>
      <c r="Z10" s="9"/>
      <c r="AA10" s="11"/>
      <c r="AB10" s="9"/>
      <c r="AC10" s="9"/>
      <c r="AD10" s="2"/>
    </row>
    <row r="11" spans="1:30" ht="15" x14ac:dyDescent="0.25">
      <c r="B11" s="8"/>
      <c r="C11" s="9"/>
      <c r="D11" s="10"/>
      <c r="E11" s="11"/>
      <c r="F11" s="18"/>
      <c r="G11" s="11"/>
      <c r="H11" s="18"/>
      <c r="I11" s="11"/>
      <c r="J11" s="18"/>
      <c r="K11" s="11"/>
      <c r="L11" s="18"/>
      <c r="M11" s="11"/>
      <c r="N11" s="18"/>
      <c r="O11" s="11"/>
      <c r="P11" s="18"/>
      <c r="Q11" s="11"/>
      <c r="R11" s="18"/>
      <c r="S11" s="11"/>
      <c r="T11" s="9"/>
      <c r="U11" s="11"/>
      <c r="V11" s="9"/>
      <c r="W11" s="11"/>
      <c r="X11" s="9"/>
      <c r="Y11" s="11"/>
      <c r="Z11" s="9"/>
      <c r="AA11" s="11"/>
      <c r="AB11" s="9"/>
      <c r="AC11" s="9"/>
      <c r="AD11" s="2"/>
    </row>
    <row r="12" spans="1:30" ht="14.45" x14ac:dyDescent="0.3">
      <c r="B12" s="8"/>
      <c r="C12" s="9"/>
      <c r="D12" s="10"/>
      <c r="E12" s="11"/>
      <c r="F12" s="18"/>
      <c r="G12" s="11"/>
      <c r="H12" s="18"/>
      <c r="I12" s="11"/>
      <c r="J12" s="18"/>
      <c r="K12" s="11"/>
      <c r="L12" s="18"/>
      <c r="M12" s="11"/>
      <c r="N12" s="18"/>
      <c r="O12" s="11"/>
      <c r="P12" s="18"/>
      <c r="Q12" s="11"/>
      <c r="R12" s="18"/>
      <c r="S12" s="11"/>
      <c r="T12" s="9"/>
      <c r="U12" s="11"/>
      <c r="V12" s="9"/>
      <c r="W12" s="11"/>
      <c r="X12" s="9"/>
      <c r="Y12" s="11"/>
      <c r="Z12" s="9"/>
      <c r="AA12" s="11"/>
      <c r="AB12" s="9"/>
      <c r="AC12" s="9"/>
      <c r="AD12" s="2"/>
    </row>
    <row r="13" spans="1:30" ht="14.45" x14ac:dyDescent="0.3">
      <c r="B13" s="8"/>
      <c r="C13" s="9"/>
      <c r="D13" s="10"/>
      <c r="E13" s="11"/>
      <c r="F13" s="18"/>
      <c r="G13" s="11"/>
      <c r="H13" s="18"/>
      <c r="I13" s="11"/>
      <c r="J13" s="18"/>
      <c r="K13" s="11"/>
      <c r="L13" s="18"/>
      <c r="M13" s="11"/>
      <c r="N13" s="18"/>
      <c r="O13" s="11"/>
      <c r="P13" s="18"/>
      <c r="Q13" s="11"/>
      <c r="R13" s="18"/>
      <c r="S13" s="11"/>
      <c r="T13" s="18"/>
      <c r="U13" s="11"/>
      <c r="V13" s="9"/>
      <c r="W13" s="11"/>
      <c r="X13" s="9"/>
      <c r="Y13" s="11"/>
      <c r="Z13" s="9"/>
      <c r="AA13" s="11"/>
      <c r="AB13" s="9"/>
      <c r="AC13" s="9"/>
      <c r="AD13" s="2"/>
    </row>
    <row r="14" spans="1:30" ht="15" x14ac:dyDescent="0.25">
      <c r="B14" s="8"/>
      <c r="C14" s="9"/>
      <c r="D14" s="10"/>
      <c r="E14" s="11"/>
      <c r="F14" s="18"/>
      <c r="G14" s="11"/>
      <c r="H14" s="18"/>
      <c r="I14" s="11"/>
      <c r="J14" s="18"/>
      <c r="K14" s="11"/>
      <c r="L14" s="18"/>
      <c r="M14" s="11"/>
      <c r="N14" s="18"/>
      <c r="O14" s="11"/>
      <c r="P14" s="18"/>
      <c r="Q14" s="11"/>
      <c r="R14" s="18"/>
      <c r="S14" s="11"/>
      <c r="T14" s="9"/>
      <c r="U14" s="11"/>
      <c r="V14" s="9"/>
      <c r="W14" s="11"/>
      <c r="X14" s="9"/>
      <c r="Y14" s="11"/>
      <c r="Z14" s="9"/>
      <c r="AA14" s="11"/>
      <c r="AB14" s="9"/>
      <c r="AC14" s="9"/>
      <c r="AD14" s="2"/>
    </row>
    <row r="15" spans="1:30" ht="15" x14ac:dyDescent="0.25">
      <c r="B15" s="8"/>
      <c r="C15" s="9"/>
      <c r="D15" s="10"/>
      <c r="E15" s="11"/>
      <c r="F15" s="18"/>
      <c r="G15" s="11"/>
      <c r="H15" s="18"/>
      <c r="I15" s="11"/>
      <c r="J15" s="18"/>
      <c r="K15" s="11"/>
      <c r="L15" s="18"/>
      <c r="M15" s="11"/>
      <c r="N15" s="18"/>
      <c r="O15" s="11"/>
      <c r="P15" s="18"/>
      <c r="Q15" s="11"/>
      <c r="R15" s="18"/>
      <c r="S15" s="11"/>
      <c r="T15" s="9"/>
      <c r="U15" s="11"/>
      <c r="V15" s="9"/>
      <c r="W15" s="11"/>
      <c r="X15" s="9"/>
      <c r="Y15" s="11"/>
      <c r="Z15" s="9"/>
      <c r="AA15" s="11"/>
      <c r="AB15" s="9"/>
      <c r="AC15" s="9"/>
      <c r="AD15" s="2"/>
    </row>
    <row r="16" spans="1:30" ht="15" x14ac:dyDescent="0.25">
      <c r="B16" s="8"/>
      <c r="C16" s="9"/>
      <c r="D16" s="10"/>
      <c r="E16" s="11"/>
      <c r="F16" s="18"/>
      <c r="G16" s="11"/>
      <c r="H16" s="18"/>
      <c r="I16" s="11"/>
      <c r="J16" s="18"/>
      <c r="K16" s="11"/>
      <c r="L16" s="18"/>
      <c r="M16" s="11"/>
      <c r="N16" s="18"/>
      <c r="O16" s="11"/>
      <c r="P16" s="18"/>
      <c r="Q16" s="11"/>
      <c r="R16" s="18"/>
      <c r="S16" s="11"/>
      <c r="T16" s="9"/>
      <c r="U16" s="11"/>
      <c r="V16" s="9"/>
      <c r="W16" s="11"/>
      <c r="X16" s="9"/>
      <c r="Y16" s="11"/>
      <c r="Z16" s="9"/>
      <c r="AA16" s="11"/>
      <c r="AB16" s="9"/>
      <c r="AC16" s="9"/>
      <c r="AD16" s="2"/>
    </row>
    <row r="17" spans="2:30" ht="15" x14ac:dyDescent="0.25">
      <c r="B17" s="8"/>
      <c r="C17" s="9"/>
      <c r="D17" s="10"/>
      <c r="E17" s="11"/>
      <c r="F17" s="18"/>
      <c r="G17" s="11"/>
      <c r="H17" s="18"/>
      <c r="I17" s="11"/>
      <c r="J17" s="18"/>
      <c r="K17" s="11"/>
      <c r="L17" s="18"/>
      <c r="M17" s="11"/>
      <c r="N17" s="18"/>
      <c r="O17" s="11"/>
      <c r="P17" s="18"/>
      <c r="Q17" s="11"/>
      <c r="R17" s="18"/>
      <c r="S17" s="11"/>
      <c r="T17" s="9"/>
      <c r="U17" s="11"/>
      <c r="V17" s="9"/>
      <c r="W17" s="11"/>
      <c r="X17" s="9"/>
      <c r="Y17" s="11"/>
      <c r="Z17" s="9"/>
      <c r="AA17" s="11"/>
      <c r="AB17" s="9"/>
      <c r="AC17" s="9"/>
      <c r="AD17" s="2"/>
    </row>
    <row r="18" spans="2:30" ht="15" x14ac:dyDescent="0.25">
      <c r="B18" s="8"/>
      <c r="C18" s="9"/>
      <c r="D18" s="10"/>
      <c r="E18" s="11"/>
      <c r="F18" s="18"/>
      <c r="G18" s="11"/>
      <c r="H18" s="18"/>
      <c r="I18" s="11"/>
      <c r="J18" s="18"/>
      <c r="K18" s="11"/>
      <c r="L18" s="18"/>
      <c r="M18" s="11"/>
      <c r="N18" s="18"/>
      <c r="O18" s="11"/>
      <c r="P18" s="18"/>
      <c r="Q18" s="11"/>
      <c r="R18" s="18"/>
      <c r="S18" s="11"/>
      <c r="T18" s="18"/>
      <c r="U18" s="11"/>
      <c r="V18" s="9"/>
      <c r="W18" s="11"/>
      <c r="X18" s="9"/>
      <c r="Y18" s="11"/>
      <c r="Z18" s="9"/>
      <c r="AA18" s="11"/>
      <c r="AB18" s="9"/>
      <c r="AC18" s="9"/>
      <c r="AD18" s="2"/>
    </row>
    <row r="19" spans="2:30" ht="14.45" x14ac:dyDescent="0.3">
      <c r="B19" s="8"/>
      <c r="C19" s="9"/>
      <c r="D19" s="10"/>
      <c r="E19" s="11"/>
      <c r="F19" s="18"/>
      <c r="G19" s="11"/>
      <c r="H19" s="18"/>
      <c r="I19" s="11"/>
      <c r="J19" s="18"/>
      <c r="K19" s="11"/>
      <c r="L19" s="18"/>
      <c r="M19" s="11"/>
      <c r="N19" s="18"/>
      <c r="O19" s="11"/>
      <c r="P19" s="18"/>
      <c r="Q19" s="11"/>
      <c r="R19" s="18"/>
      <c r="S19" s="11"/>
      <c r="T19" s="9"/>
      <c r="U19" s="11"/>
      <c r="V19" s="9"/>
      <c r="W19" s="11"/>
      <c r="X19" s="9"/>
      <c r="Y19" s="11"/>
      <c r="Z19" s="9"/>
      <c r="AA19" s="11"/>
      <c r="AB19" s="9"/>
      <c r="AC19" s="9"/>
      <c r="AD19" s="2"/>
    </row>
    <row r="20" spans="2:30" ht="13.9" customHeight="1" x14ac:dyDescent="0.3">
      <c r="B20" s="8"/>
      <c r="C20" s="9"/>
      <c r="D20" s="10"/>
      <c r="E20" s="11"/>
      <c r="F20" s="18"/>
      <c r="G20" s="11"/>
      <c r="H20" s="18"/>
      <c r="I20" s="11"/>
      <c r="J20" s="18"/>
      <c r="K20" s="11"/>
      <c r="L20" s="18"/>
      <c r="M20" s="11"/>
      <c r="N20" s="18"/>
      <c r="O20" s="11"/>
      <c r="P20" s="18"/>
      <c r="Q20" s="11"/>
      <c r="R20" s="18"/>
      <c r="S20" s="11"/>
      <c r="T20" s="18"/>
      <c r="U20" s="11"/>
      <c r="V20" s="9"/>
      <c r="W20" s="11"/>
      <c r="X20" s="9"/>
      <c r="Y20" s="11"/>
      <c r="Z20" s="9"/>
      <c r="AA20" s="11"/>
      <c r="AB20" s="9"/>
      <c r="AC20" s="9"/>
      <c r="AD20" s="2"/>
    </row>
    <row r="21" spans="2:30" ht="14.45" x14ac:dyDescent="0.3">
      <c r="B21" s="8"/>
      <c r="C21" s="9"/>
      <c r="D21" s="10"/>
      <c r="E21" s="11"/>
      <c r="F21" s="18"/>
      <c r="G21" s="11"/>
      <c r="H21" s="18"/>
      <c r="I21" s="11"/>
      <c r="J21" s="18"/>
      <c r="K21" s="11"/>
      <c r="L21" s="18"/>
      <c r="M21" s="11"/>
      <c r="N21" s="18"/>
      <c r="O21" s="11"/>
      <c r="P21" s="18"/>
      <c r="Q21" s="11"/>
      <c r="R21" s="18"/>
      <c r="S21" s="11"/>
      <c r="T21" s="12"/>
      <c r="U21" s="11"/>
      <c r="V21" s="9"/>
      <c r="W21" s="11"/>
      <c r="X21" s="9"/>
      <c r="Y21" s="11"/>
      <c r="Z21" s="9"/>
      <c r="AA21" s="11"/>
      <c r="AB21" s="9"/>
      <c r="AC21" s="9"/>
      <c r="AD21" s="2"/>
    </row>
    <row r="22" spans="2:30" ht="15" x14ac:dyDescent="0.25">
      <c r="B22" s="8"/>
      <c r="C22" s="9"/>
      <c r="D22" s="13"/>
      <c r="E22" s="11"/>
      <c r="F22" s="18"/>
      <c r="G22" s="11"/>
      <c r="H22" s="18"/>
      <c r="I22" s="11"/>
      <c r="J22" s="18"/>
      <c r="K22" s="11"/>
      <c r="L22" s="18"/>
      <c r="M22" s="11"/>
      <c r="N22" s="18"/>
      <c r="O22" s="11"/>
      <c r="P22" s="18"/>
      <c r="Q22" s="11"/>
      <c r="R22" s="18"/>
      <c r="S22" s="11"/>
      <c r="T22" s="9"/>
      <c r="U22" s="11"/>
      <c r="V22" s="9"/>
      <c r="W22" s="11"/>
      <c r="X22" s="9"/>
      <c r="Y22" s="11"/>
      <c r="Z22" s="9"/>
      <c r="AA22" s="11"/>
      <c r="AB22" s="9"/>
      <c r="AC22" s="9"/>
      <c r="AD22" s="2"/>
    </row>
  </sheetData>
  <mergeCells count="3">
    <mergeCell ref="B2:AB2"/>
    <mergeCell ref="E4:AB4"/>
    <mergeCell ref="H1:AB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Ya_vence">
                <anchor>
                  <from>
                    <xdr:col>28</xdr:col>
                    <xdr:colOff>152400</xdr:colOff>
                    <xdr:row>0</xdr:row>
                    <xdr:rowOff>152400</xdr:rowOff>
                  </from>
                  <to>
                    <xdr:col>28</xdr:col>
                    <xdr:colOff>2152650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14.xml.rels><?xml version="1.0" encoding="UTF-8" standalone="yes"?>
<Relationships xmlns="http://schemas.openxmlformats.org/package/2006/relationships"><Relationship Id="youtube" Type="http://schemas.openxmlformats.org/officeDocument/2006/relationships/image" Target="images/youtube.png"/><Relationship Id="internet-explorer" Type="http://schemas.openxmlformats.org/officeDocument/2006/relationships/image" Target="images/internet-explorer.png"/><Relationship Id="facebook" Type="http://schemas.openxmlformats.org/officeDocument/2006/relationships/image" Target="images/facebook.png"/></Relationships>
</file>

<file path=customUI/customUI14.xml><?xml version="1.0" encoding="utf-8"?>
<customUI xmlns="http://schemas.microsoft.com/office/2009/07/customui">
  <ribbon startFromScratch="false">
    <tabs>
      <tab id="Autor" label="Excel Negocios ®" insertBeforeMso="TabAddin">
        <group id="Social" label="CREDITOS">
          <button id="cbtnIrABlog" label=" Excelnegocios.com" onAction="ir_web" image="internet-explorer"/>
          <button id="cbtnIrACanal" label=" Suscríbete" onAction="ir_youtube" image="youtube"/>
          <button id="cbtnIrAFacebook" label=" Me gusta" onAction="ir_facebook" image="faceboo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VENCIMIENTOS</vt:lpstr>
      <vt:lpstr>BuscarCol</vt:lpstr>
      <vt:lpstr>DiasPrevios</vt:lpstr>
      <vt:lpstr>HoyEs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Sebastiani</dc:creator>
  <cp:lastModifiedBy>HP</cp:lastModifiedBy>
  <dcterms:created xsi:type="dcterms:W3CDTF">2018-07-27T17:04:25Z</dcterms:created>
  <dcterms:modified xsi:type="dcterms:W3CDTF">2018-10-24T00:03:49Z</dcterms:modified>
</cp:coreProperties>
</file>